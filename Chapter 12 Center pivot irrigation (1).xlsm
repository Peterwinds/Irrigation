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wall\Downloads\"/>
    </mc:Choice>
  </mc:AlternateContent>
  <xr:revisionPtr revIDLastSave="0" documentId="13_ncr:1_{06E76E82-541E-463E-BF3A-EEAC6CA3F81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P_infilt_RO" sheetId="4" r:id="rId1"/>
    <sheet name="CP_flow_calc" sheetId="203" r:id="rId2"/>
  </sheets>
  <functionGroups builtInGroupCount="19"/>
  <externalReferences>
    <externalReference r:id="rId3"/>
  </externalReferences>
  <definedNames>
    <definedName name="_Fill" localSheetId="1" hidden="1">#REF!</definedName>
    <definedName name="_Fill" hidden="1">#REF!</definedName>
    <definedName name="didtmax" localSheetId="1">[1]CP_infilt_RO!$H$4</definedName>
    <definedName name="didtmax">CP_infilt_RO!$H$4</definedName>
    <definedName name="ia" localSheetId="1">[1]CP_infilt_RO!$H$2</definedName>
    <definedName name="ia">CP_infilt_RO!$H$2</definedName>
    <definedName name="Ta" localSheetId="1">[1]CP_infilt_RO!$E$4</definedName>
    <definedName name="Ta">CP_infilt_RO!$E$4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03" l="1"/>
  <c r="N2" i="203"/>
  <c r="N3" i="203" s="1"/>
  <c r="N4" i="203" s="1"/>
  <c r="N5" i="203" s="1"/>
  <c r="N6" i="203" s="1"/>
  <c r="N7" i="203" s="1"/>
  <c r="N8" i="203" s="1"/>
  <c r="N9" i="203" s="1"/>
  <c r="N10" i="203" s="1"/>
  <c r="N11" i="203" s="1"/>
  <c r="N12" i="203" s="1"/>
  <c r="N13" i="203" s="1"/>
  <c r="N14" i="203" s="1"/>
  <c r="N15" i="203" s="1"/>
  <c r="N16" i="203" s="1"/>
  <c r="N17" i="203" s="1"/>
  <c r="N18" i="203" s="1"/>
  <c r="N19" i="203" s="1"/>
  <c r="N20" i="203" s="1"/>
  <c r="N21" i="203" s="1"/>
  <c r="N22" i="203" s="1"/>
  <c r="N23" i="203" s="1"/>
  <c r="N24" i="203" s="1"/>
  <c r="N25" i="203" s="1"/>
  <c r="N26" i="203" s="1"/>
  <c r="N27" i="203" s="1"/>
  <c r="N28" i="203" s="1"/>
  <c r="N29" i="203" s="1"/>
  <c r="N30" i="203" s="1"/>
  <c r="N31" i="203" s="1"/>
  <c r="N32" i="203" s="1"/>
  <c r="N33" i="203" s="1"/>
  <c r="N34" i="203" s="1"/>
  <c r="N35" i="203" s="1"/>
  <c r="N36" i="203" s="1"/>
  <c r="N37" i="203" s="1"/>
  <c r="N38" i="203" s="1"/>
  <c r="N39" i="203" s="1"/>
  <c r="N40" i="203" s="1"/>
  <c r="N41" i="203" s="1"/>
  <c r="N42" i="203" s="1"/>
  <c r="N43" i="203" s="1"/>
  <c r="N44" i="203" s="1"/>
  <c r="N45" i="203" s="1"/>
  <c r="N46" i="203" s="1"/>
  <c r="N47" i="203" s="1"/>
  <c r="N48" i="203" s="1"/>
  <c r="N49" i="203" s="1"/>
  <c r="N50" i="203" s="1"/>
  <c r="N51" i="203" s="1"/>
  <c r="N52" i="203" s="1"/>
  <c r="N53" i="203" s="1"/>
  <c r="N54" i="203" s="1"/>
  <c r="N55" i="203" s="1"/>
  <c r="N56" i="203" s="1"/>
  <c r="N57" i="203" s="1"/>
  <c r="N58" i="203" s="1"/>
  <c r="N59" i="203" s="1"/>
  <c r="N60" i="203" s="1"/>
  <c r="N61" i="203" s="1"/>
  <c r="N62" i="203" s="1"/>
  <c r="N63" i="203" s="1"/>
  <c r="N64" i="203" s="1"/>
  <c r="N65" i="203" s="1"/>
  <c r="N66" i="203" s="1"/>
  <c r="N67" i="203" s="1"/>
  <c r="N68" i="203" s="1"/>
  <c r="N69" i="203" s="1"/>
  <c r="N70" i="203" s="1"/>
  <c r="N71" i="203" s="1"/>
  <c r="N72" i="203" s="1"/>
  <c r="N73" i="203" s="1"/>
  <c r="N74" i="203" s="1"/>
  <c r="N75" i="203" s="1"/>
  <c r="N76" i="203" s="1"/>
  <c r="N77" i="203" s="1"/>
  <c r="N78" i="203" s="1"/>
  <c r="N79" i="203" s="1"/>
  <c r="N80" i="203" s="1"/>
  <c r="N81" i="203" s="1"/>
  <c r="N82" i="203" s="1"/>
  <c r="N83" i="203" s="1"/>
  <c r="N84" i="203" s="1"/>
  <c r="N85" i="203" s="1"/>
  <c r="N86" i="203" s="1"/>
  <c r="N87" i="203" s="1"/>
  <c r="N88" i="203" s="1"/>
  <c r="N89" i="203" s="1"/>
  <c r="N90" i="203" s="1"/>
  <c r="N91" i="203" s="1"/>
  <c r="N92" i="203" s="1"/>
  <c r="N93" i="203" s="1"/>
  <c r="N94" i="203" s="1"/>
  <c r="N95" i="203" s="1"/>
  <c r="N96" i="203" s="1"/>
  <c r="N97" i="203" s="1"/>
  <c r="N98" i="203" s="1"/>
  <c r="N99" i="203" s="1"/>
  <c r="N100" i="203" s="1"/>
  <c r="N101" i="203" s="1"/>
  <c r="N102" i="203" s="1"/>
  <c r="N103" i="203" s="1"/>
  <c r="N104" i="203" s="1"/>
  <c r="N105" i="203" s="1"/>
  <c r="N106" i="203" s="1"/>
  <c r="N107" i="203" s="1"/>
  <c r="N108" i="203" s="1"/>
  <c r="N109" i="203" s="1"/>
  <c r="N110" i="203" s="1"/>
  <c r="N111" i="203" s="1"/>
  <c r="N112" i="203" s="1"/>
  <c r="N113" i="203" s="1"/>
  <c r="N114" i="203" s="1"/>
  <c r="N115" i="203" s="1"/>
  <c r="N116" i="203" s="1"/>
  <c r="N117" i="203" s="1"/>
  <c r="N118" i="203" s="1"/>
  <c r="N119" i="203" s="1"/>
  <c r="N120" i="203" s="1"/>
  <c r="N121" i="203" s="1"/>
  <c r="N122" i="203" s="1"/>
  <c r="N123" i="203" s="1"/>
  <c r="N124" i="203" s="1"/>
  <c r="N125" i="203" s="1"/>
  <c r="N126" i="203" s="1"/>
  <c r="N127" i="203" s="1"/>
  <c r="N128" i="203" s="1"/>
  <c r="N129" i="203" s="1"/>
  <c r="N130" i="203" s="1"/>
  <c r="N131" i="203" s="1"/>
  <c r="N132" i="203" s="1"/>
  <c r="N133" i="203" s="1"/>
  <c r="N134" i="203" s="1"/>
  <c r="N135" i="203" s="1"/>
  <c r="N136" i="203" s="1"/>
  <c r="N137" i="203" s="1"/>
  <c r="N138" i="203" s="1"/>
  <c r="N139" i="203" s="1"/>
  <c r="N140" i="203" s="1"/>
  <c r="N141" i="203" s="1"/>
  <c r="N142" i="203" s="1"/>
  <c r="N143" i="203" s="1"/>
  <c r="N144" i="203" s="1"/>
  <c r="N145" i="203" s="1"/>
  <c r="N146" i="203" s="1"/>
  <c r="N147" i="203" s="1"/>
  <c r="N148" i="203" s="1"/>
  <c r="N149" i="203" s="1"/>
  <c r="N150" i="203" s="1"/>
  <c r="N151" i="203" s="1"/>
  <c r="N152" i="203" s="1"/>
  <c r="N153" i="203" s="1"/>
  <c r="N154" i="203" s="1"/>
  <c r="N155" i="203" s="1"/>
  <c r="N156" i="203" s="1"/>
  <c r="N157" i="203" s="1"/>
  <c r="N158" i="203" s="1"/>
  <c r="N159" i="203" s="1"/>
  <c r="N160" i="203" s="1"/>
  <c r="N161" i="203" s="1"/>
  <c r="N162" i="203" s="1"/>
  <c r="N163" i="203" s="1"/>
  <c r="N164" i="203" s="1"/>
  <c r="N165" i="203" s="1"/>
  <c r="F2" i="203" l="1"/>
  <c r="F11" i="4"/>
  <c r="E12" i="4"/>
  <c r="E11" i="4"/>
  <c r="B2" i="4"/>
  <c r="B12" i="4"/>
  <c r="K9" i="4"/>
  <c r="G2" i="203" l="1"/>
  <c r="D3" i="203"/>
  <c r="D4" i="203" s="1"/>
  <c r="D5" i="203" s="1"/>
  <c r="D6" i="203" s="1"/>
  <c r="D7" i="203" s="1"/>
  <c r="D8" i="203" s="1"/>
  <c r="D9" i="203" s="1"/>
  <c r="D10" i="203" s="1"/>
  <c r="D11" i="203" s="1"/>
  <c r="D12" i="203" s="1"/>
  <c r="D13" i="203" s="1"/>
  <c r="D14" i="203" s="1"/>
  <c r="D15" i="203" s="1"/>
  <c r="D16" i="203" s="1"/>
  <c r="D17" i="203" s="1"/>
  <c r="D18" i="203" s="1"/>
  <c r="D19" i="203" s="1"/>
  <c r="D20" i="203" s="1"/>
  <c r="D21" i="203" s="1"/>
  <c r="D22" i="203" s="1"/>
  <c r="D23" i="203" s="1"/>
  <c r="D24" i="203" s="1"/>
  <c r="D25" i="203" s="1"/>
  <c r="D26" i="203" s="1"/>
  <c r="D27" i="203" s="1"/>
  <c r="D28" i="203" s="1"/>
  <c r="D29" i="203" s="1"/>
  <c r="D30" i="203" s="1"/>
  <c r="D31" i="203" s="1"/>
  <c r="D32" i="203" s="1"/>
  <c r="D33" i="203" s="1"/>
  <c r="D34" i="203" s="1"/>
  <c r="D35" i="203" s="1"/>
  <c r="D36" i="203" s="1"/>
  <c r="D37" i="203" s="1"/>
  <c r="D38" i="203" s="1"/>
  <c r="D39" i="203" s="1"/>
  <c r="D40" i="203" s="1"/>
  <c r="D41" i="203" s="1"/>
  <c r="D42" i="203" s="1"/>
  <c r="D43" i="203" s="1"/>
  <c r="D44" i="203" s="1"/>
  <c r="D45" i="203" s="1"/>
  <c r="D46" i="203" s="1"/>
  <c r="D47" i="203" s="1"/>
  <c r="D48" i="203" s="1"/>
  <c r="D49" i="203" s="1"/>
  <c r="D50" i="203" s="1"/>
  <c r="D51" i="203" s="1"/>
  <c r="D52" i="203" s="1"/>
  <c r="D53" i="203" s="1"/>
  <c r="D54" i="203" s="1"/>
  <c r="D55" i="203" s="1"/>
  <c r="D56" i="203" s="1"/>
  <c r="D57" i="203" s="1"/>
  <c r="D58" i="203" s="1"/>
  <c r="D59" i="203" s="1"/>
  <c r="D60" i="203" s="1"/>
  <c r="D61" i="203" s="1"/>
  <c r="D62" i="203" s="1"/>
  <c r="D63" i="203" s="1"/>
  <c r="D64" i="203" s="1"/>
  <c r="D65" i="203" s="1"/>
  <c r="D66" i="203" s="1"/>
  <c r="D67" i="203" s="1"/>
  <c r="D68" i="203" s="1"/>
  <c r="D69" i="203" s="1"/>
  <c r="D70" i="203" s="1"/>
  <c r="D71" i="203" s="1"/>
  <c r="D72" i="203" s="1"/>
  <c r="D73" i="203" s="1"/>
  <c r="D74" i="203" s="1"/>
  <c r="D75" i="203" s="1"/>
  <c r="D76" i="203" s="1"/>
  <c r="D77" i="203" s="1"/>
  <c r="D78" i="203" s="1"/>
  <c r="D79" i="203" s="1"/>
  <c r="D80" i="203" s="1"/>
  <c r="D81" i="203" s="1"/>
  <c r="D82" i="203" s="1"/>
  <c r="D83" i="203" s="1"/>
  <c r="D84" i="203" s="1"/>
  <c r="D85" i="203" s="1"/>
  <c r="D86" i="203" s="1"/>
  <c r="D87" i="203" s="1"/>
  <c r="D88" i="203" s="1"/>
  <c r="D89" i="203" s="1"/>
  <c r="D90" i="203" s="1"/>
  <c r="D91" i="203" s="1"/>
  <c r="D92" i="203" s="1"/>
  <c r="D93" i="203" s="1"/>
  <c r="D94" i="203" s="1"/>
  <c r="D95" i="203" s="1"/>
  <c r="D96" i="203" s="1"/>
  <c r="D97" i="203" s="1"/>
  <c r="D98" i="203" s="1"/>
  <c r="D99" i="203" s="1"/>
  <c r="D100" i="203" s="1"/>
  <c r="D101" i="203" s="1"/>
  <c r="D102" i="203" s="1"/>
  <c r="D103" i="203" s="1"/>
  <c r="D104" i="203" s="1"/>
  <c r="D105" i="203" s="1"/>
  <c r="D106" i="203" s="1"/>
  <c r="D107" i="203" s="1"/>
  <c r="D108" i="203" s="1"/>
  <c r="D109" i="203" s="1"/>
  <c r="D110" i="203" s="1"/>
  <c r="D111" i="203" s="1"/>
  <c r="D112" i="203" s="1"/>
  <c r="D113" i="203" s="1"/>
  <c r="D114" i="203" s="1"/>
  <c r="D115" i="203" s="1"/>
  <c r="D116" i="203" s="1"/>
  <c r="D117" i="203" s="1"/>
  <c r="D118" i="203" s="1"/>
  <c r="D119" i="203" s="1"/>
  <c r="D120" i="203" s="1"/>
  <c r="D121" i="203" s="1"/>
  <c r="D122" i="203" s="1"/>
  <c r="D123" i="203" s="1"/>
  <c r="D124" i="203" s="1"/>
  <c r="D125" i="203" s="1"/>
  <c r="D126" i="203" s="1"/>
  <c r="D127" i="203" s="1"/>
  <c r="D128" i="203" s="1"/>
  <c r="D129" i="203" s="1"/>
  <c r="D130" i="203" s="1"/>
  <c r="D131" i="203" s="1"/>
  <c r="D132" i="203" s="1"/>
  <c r="D133" i="203" s="1"/>
  <c r="D134" i="203" s="1"/>
  <c r="D135" i="203" s="1"/>
  <c r="D136" i="203" s="1"/>
  <c r="D137" i="203" s="1"/>
  <c r="D138" i="203" s="1"/>
  <c r="D139" i="203" s="1"/>
  <c r="D140" i="203" s="1"/>
  <c r="D141" i="203" s="1"/>
  <c r="D142" i="203" s="1"/>
  <c r="D143" i="203" s="1"/>
  <c r="D144" i="203" s="1"/>
  <c r="D145" i="203" s="1"/>
  <c r="D146" i="203" s="1"/>
  <c r="D147" i="203" s="1"/>
  <c r="D148" i="203" s="1"/>
  <c r="D149" i="203" s="1"/>
  <c r="D150" i="203" s="1"/>
  <c r="D151" i="203" s="1"/>
  <c r="D152" i="203" s="1"/>
  <c r="D153" i="203" s="1"/>
  <c r="D154" i="203" s="1"/>
  <c r="D155" i="203" s="1"/>
  <c r="D156" i="203" s="1"/>
  <c r="D157" i="203" s="1"/>
  <c r="D158" i="203" s="1"/>
  <c r="D159" i="203" s="1"/>
  <c r="D160" i="203" s="1"/>
  <c r="D161" i="203" s="1"/>
  <c r="D162" i="203" s="1"/>
  <c r="D163" i="203" s="1"/>
  <c r="D164" i="203" s="1"/>
  <c r="D165" i="203" s="1"/>
  <c r="E3" i="203"/>
  <c r="B11" i="4"/>
  <c r="C3" i="203" l="1"/>
  <c r="B14" i="4"/>
  <c r="E4" i="203" l="1"/>
  <c r="G3" i="203"/>
  <c r="F3" i="203"/>
  <c r="C4" i="203" l="1"/>
  <c r="G4" i="203" l="1"/>
  <c r="F4" i="203"/>
  <c r="E5" i="203"/>
  <c r="C5" i="203" l="1"/>
  <c r="F5" i="203" l="1"/>
  <c r="G5" i="203"/>
  <c r="E6" i="203"/>
  <c r="C6" i="203" s="1"/>
  <c r="E7" i="203" l="1"/>
  <c r="C7" i="203" s="1"/>
  <c r="G6" i="203"/>
  <c r="F6" i="203"/>
  <c r="F7" i="203" l="1"/>
  <c r="E8" i="203"/>
  <c r="G7" i="203"/>
  <c r="C8" i="203" l="1"/>
  <c r="G8" i="203" s="1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B6" i="4"/>
  <c r="H2" i="4" s="1"/>
  <c r="H3" i="4" s="1"/>
  <c r="E4" i="4"/>
  <c r="B5" i="4"/>
  <c r="H5" i="4" s="1"/>
  <c r="K10" i="4"/>
  <c r="B16" i="4"/>
  <c r="J9" i="4"/>
  <c r="J10" i="4"/>
  <c r="F8" i="203" l="1"/>
  <c r="H4" i="4"/>
  <c r="E9" i="203"/>
  <c r="K29" i="4"/>
  <c r="L29" i="4" s="1"/>
  <c r="M29" i="4" s="1"/>
  <c r="E50" i="4"/>
  <c r="J50" i="4" s="1"/>
  <c r="E46" i="4"/>
  <c r="J46" i="4" s="1"/>
  <c r="E42" i="4"/>
  <c r="J42" i="4" s="1"/>
  <c r="E47" i="4"/>
  <c r="J47" i="4" s="1"/>
  <c r="E43" i="4"/>
  <c r="J43" i="4" s="1"/>
  <c r="E39" i="4"/>
  <c r="J39" i="4" s="1"/>
  <c r="E35" i="4"/>
  <c r="K35" i="4" s="1"/>
  <c r="L35" i="4" s="1"/>
  <c r="M35" i="4" s="1"/>
  <c r="E31" i="4"/>
  <c r="J31" i="4" s="1"/>
  <c r="E27" i="4"/>
  <c r="K27" i="4" s="1"/>
  <c r="L27" i="4" s="1"/>
  <c r="M27" i="4" s="1"/>
  <c r="E48" i="4"/>
  <c r="J48" i="4" s="1"/>
  <c r="E44" i="4"/>
  <c r="K44" i="4" s="1"/>
  <c r="L44" i="4" s="1"/>
  <c r="M44" i="4" s="1"/>
  <c r="E40" i="4"/>
  <c r="J40" i="4" s="1"/>
  <c r="E36" i="4"/>
  <c r="J36" i="4" s="1"/>
  <c r="E32" i="4"/>
  <c r="J32" i="4" s="1"/>
  <c r="E28" i="4"/>
  <c r="K28" i="4" s="1"/>
  <c r="L28" i="4" s="1"/>
  <c r="M28" i="4" s="1"/>
  <c r="E24" i="4"/>
  <c r="J24" i="4" s="1"/>
  <c r="E20" i="4"/>
  <c r="J20" i="4" s="1"/>
  <c r="E45" i="4"/>
  <c r="J45" i="4" s="1"/>
  <c r="E38" i="4"/>
  <c r="K38" i="4" s="1"/>
  <c r="L38" i="4" s="1"/>
  <c r="M38" i="4" s="1"/>
  <c r="E34" i="4"/>
  <c r="K34" i="4" s="1"/>
  <c r="L34" i="4" s="1"/>
  <c r="M34" i="4" s="1"/>
  <c r="E30" i="4"/>
  <c r="E26" i="4"/>
  <c r="K26" i="4" s="1"/>
  <c r="L26" i="4" s="1"/>
  <c r="M26" i="4" s="1"/>
  <c r="E23" i="4"/>
  <c r="K23" i="4" s="1"/>
  <c r="L23" i="4" s="1"/>
  <c r="M23" i="4" s="1"/>
  <c r="E49" i="4"/>
  <c r="J49" i="4" s="1"/>
  <c r="E41" i="4"/>
  <c r="K41" i="4" s="1"/>
  <c r="L41" i="4" s="1"/>
  <c r="M41" i="4" s="1"/>
  <c r="E22" i="4"/>
  <c r="E21" i="4"/>
  <c r="K21" i="4" s="1"/>
  <c r="L21" i="4" s="1"/>
  <c r="M21" i="4" s="1"/>
  <c r="E15" i="4"/>
  <c r="J15" i="4" s="1"/>
  <c r="E19" i="4"/>
  <c r="K19" i="4" s="1"/>
  <c r="L19" i="4" s="1"/>
  <c r="M19" i="4" s="1"/>
  <c r="E14" i="4"/>
  <c r="K14" i="4" s="1"/>
  <c r="L14" i="4" s="1"/>
  <c r="M14" i="4" s="1"/>
  <c r="E29" i="4"/>
  <c r="J29" i="4" s="1"/>
  <c r="J11" i="4"/>
  <c r="E16" i="4"/>
  <c r="J16" i="4" s="1"/>
  <c r="E18" i="4"/>
  <c r="E25" i="4"/>
  <c r="J25" i="4" s="1"/>
  <c r="E33" i="4"/>
  <c r="J33" i="4" s="1"/>
  <c r="J12" i="4"/>
  <c r="E13" i="4"/>
  <c r="J13" i="4" s="1"/>
  <c r="E17" i="4"/>
  <c r="J17" i="4" s="1"/>
  <c r="E37" i="4"/>
  <c r="J37" i="4" s="1"/>
  <c r="B15" i="4"/>
  <c r="K48" i="4" l="1"/>
  <c r="L48" i="4" s="1"/>
  <c r="M48" i="4" s="1"/>
  <c r="F29" i="4"/>
  <c r="G29" i="4" s="1"/>
  <c r="F14" i="4"/>
  <c r="G14" i="4" s="1"/>
  <c r="N14" i="4" s="1"/>
  <c r="F44" i="4"/>
  <c r="G44" i="4" s="1"/>
  <c r="F26" i="4"/>
  <c r="H26" i="4" s="1"/>
  <c r="F18" i="4"/>
  <c r="H18" i="4" s="1"/>
  <c r="J44" i="4"/>
  <c r="J35" i="4"/>
  <c r="J26" i="4"/>
  <c r="J38" i="4"/>
  <c r="F30" i="4"/>
  <c r="G30" i="4" s="1"/>
  <c r="F22" i="4"/>
  <c r="H22" i="4" s="1"/>
  <c r="K45" i="4"/>
  <c r="L45" i="4" s="1"/>
  <c r="M45" i="4" s="1"/>
  <c r="J41" i="4"/>
  <c r="F45" i="4"/>
  <c r="H45" i="4" s="1"/>
  <c r="F48" i="4"/>
  <c r="G48" i="4" s="1"/>
  <c r="C9" i="203"/>
  <c r="F32" i="4"/>
  <c r="G32" i="4" s="1"/>
  <c r="K32" i="4"/>
  <c r="L32" i="4" s="1"/>
  <c r="M32" i="4" s="1"/>
  <c r="F35" i="4"/>
  <c r="G35" i="4" s="1"/>
  <c r="J28" i="4"/>
  <c r="F28" i="4"/>
  <c r="H28" i="4" s="1"/>
  <c r="F50" i="4"/>
  <c r="G50" i="4" s="1"/>
  <c r="K13" i="4"/>
  <c r="L13" i="4" s="1"/>
  <c r="M13" i="4" s="1"/>
  <c r="J21" i="4"/>
  <c r="F42" i="4"/>
  <c r="H42" i="4" s="1"/>
  <c r="K22" i="4"/>
  <c r="L22" i="4" s="1"/>
  <c r="M22" i="4" s="1"/>
  <c r="J22" i="4"/>
  <c r="F38" i="4"/>
  <c r="H38" i="4" s="1"/>
  <c r="K42" i="4"/>
  <c r="L42" i="4" s="1"/>
  <c r="M42" i="4" s="1"/>
  <c r="F46" i="4"/>
  <c r="H46" i="4" s="1"/>
  <c r="K50" i="4"/>
  <c r="L50" i="4" s="1"/>
  <c r="M50" i="4" s="1"/>
  <c r="J18" i="4"/>
  <c r="F25" i="4"/>
  <c r="G25" i="4" s="1"/>
  <c r="K25" i="4"/>
  <c r="L25" i="4" s="1"/>
  <c r="M25" i="4" s="1"/>
  <c r="K31" i="4"/>
  <c r="L31" i="4" s="1"/>
  <c r="M31" i="4" s="1"/>
  <c r="K11" i="4"/>
  <c r="F13" i="4"/>
  <c r="F19" i="4"/>
  <c r="F16" i="4"/>
  <c r="F27" i="4"/>
  <c r="F12" i="4"/>
  <c r="G12" i="4" s="1"/>
  <c r="F17" i="4"/>
  <c r="F33" i="4"/>
  <c r="F49" i="4"/>
  <c r="F36" i="4"/>
  <c r="F39" i="4"/>
  <c r="K18" i="4"/>
  <c r="L18" i="4" s="1"/>
  <c r="M18" i="4" s="1"/>
  <c r="K16" i="4"/>
  <c r="L16" i="4" s="1"/>
  <c r="M16" i="4" s="1"/>
  <c r="K12" i="4"/>
  <c r="L12" i="4" s="1"/>
  <c r="M12" i="4" s="1"/>
  <c r="K17" i="4"/>
  <c r="L17" i="4" s="1"/>
  <c r="M17" i="4" s="1"/>
  <c r="K33" i="4"/>
  <c r="L33" i="4" s="1"/>
  <c r="M33" i="4" s="1"/>
  <c r="K49" i="4"/>
  <c r="L49" i="4" s="1"/>
  <c r="M49" i="4" s="1"/>
  <c r="K36" i="4"/>
  <c r="L36" i="4" s="1"/>
  <c r="M36" i="4" s="1"/>
  <c r="K39" i="4"/>
  <c r="L39" i="4" s="1"/>
  <c r="M39" i="4" s="1"/>
  <c r="J14" i="4"/>
  <c r="J23" i="4"/>
  <c r="F15" i="4"/>
  <c r="F34" i="4"/>
  <c r="J34" i="4"/>
  <c r="F20" i="4"/>
  <c r="F23" i="4"/>
  <c r="F31" i="4"/>
  <c r="F21" i="4"/>
  <c r="F37" i="4"/>
  <c r="F24" i="4"/>
  <c r="F40" i="4"/>
  <c r="F43" i="4"/>
  <c r="K20" i="4"/>
  <c r="L20" i="4" s="1"/>
  <c r="M20" i="4" s="1"/>
  <c r="K46" i="4"/>
  <c r="L46" i="4" s="1"/>
  <c r="M46" i="4" s="1"/>
  <c r="K30" i="4"/>
  <c r="L30" i="4" s="1"/>
  <c r="M30" i="4" s="1"/>
  <c r="K37" i="4"/>
  <c r="L37" i="4" s="1"/>
  <c r="M37" i="4" s="1"/>
  <c r="K24" i="4"/>
  <c r="L24" i="4" s="1"/>
  <c r="M24" i="4" s="1"/>
  <c r="K40" i="4"/>
  <c r="L40" i="4" s="1"/>
  <c r="M40" i="4" s="1"/>
  <c r="K43" i="4"/>
  <c r="L43" i="4" s="1"/>
  <c r="M43" i="4" s="1"/>
  <c r="J30" i="4"/>
  <c r="J19" i="4"/>
  <c r="J27" i="4"/>
  <c r="K15" i="4"/>
  <c r="L15" i="4" s="1"/>
  <c r="M15" i="4" s="1"/>
  <c r="F41" i="4"/>
  <c r="F47" i="4"/>
  <c r="K47" i="4"/>
  <c r="L47" i="4" s="1"/>
  <c r="M47" i="4" s="1"/>
  <c r="H44" i="4" l="1"/>
  <c r="G26" i="4"/>
  <c r="N26" i="4" s="1"/>
  <c r="H48" i="4"/>
  <c r="H14" i="4"/>
  <c r="N50" i="4"/>
  <c r="H29" i="4"/>
  <c r="N12" i="4"/>
  <c r="G18" i="4"/>
  <c r="N18" i="4" s="1"/>
  <c r="G46" i="4"/>
  <c r="N46" i="4" s="1"/>
  <c r="G22" i="4"/>
  <c r="H30" i="4"/>
  <c r="G38" i="4"/>
  <c r="N38" i="4" s="1"/>
  <c r="G45" i="4"/>
  <c r="O45" i="4" s="1"/>
  <c r="H32" i="4"/>
  <c r="H35" i="4"/>
  <c r="H25" i="4"/>
  <c r="G28" i="4"/>
  <c r="N28" i="4" s="1"/>
  <c r="H50" i="4"/>
  <c r="F9" i="203"/>
  <c r="G9" i="203"/>
  <c r="E10" i="203"/>
  <c r="G42" i="4"/>
  <c r="O42" i="4" s="1"/>
  <c r="L11" i="4"/>
  <c r="M11" i="4" s="1"/>
  <c r="G21" i="4"/>
  <c r="H21" i="4"/>
  <c r="H34" i="4"/>
  <c r="G34" i="4"/>
  <c r="G17" i="4"/>
  <c r="H17" i="4"/>
  <c r="H19" i="4"/>
  <c r="G19" i="4"/>
  <c r="O50" i="4"/>
  <c r="O44" i="4"/>
  <c r="N44" i="4"/>
  <c r="O14" i="4"/>
  <c r="G40" i="4"/>
  <c r="H40" i="4"/>
  <c r="H31" i="4"/>
  <c r="G31" i="4"/>
  <c r="G15" i="4"/>
  <c r="H15" i="4"/>
  <c r="G36" i="4"/>
  <c r="H36" i="4"/>
  <c r="H12" i="4"/>
  <c r="G13" i="4"/>
  <c r="N13" i="4" s="1"/>
  <c r="H13" i="4"/>
  <c r="O48" i="4"/>
  <c r="N48" i="4"/>
  <c r="N22" i="4"/>
  <c r="O22" i="4"/>
  <c r="H41" i="4"/>
  <c r="G41" i="4"/>
  <c r="H43" i="4"/>
  <c r="G43" i="4"/>
  <c r="H39" i="4"/>
  <c r="G39" i="4"/>
  <c r="O25" i="4"/>
  <c r="N25" i="4"/>
  <c r="G24" i="4"/>
  <c r="H24" i="4"/>
  <c r="H23" i="4"/>
  <c r="G23" i="4"/>
  <c r="O32" i="4"/>
  <c r="N32" i="4"/>
  <c r="H49" i="4"/>
  <c r="G49" i="4"/>
  <c r="H27" i="4"/>
  <c r="G27" i="4"/>
  <c r="N30" i="4"/>
  <c r="O30" i="4"/>
  <c r="H47" i="4"/>
  <c r="G47" i="4"/>
  <c r="N35" i="4"/>
  <c r="O35" i="4"/>
  <c r="G37" i="4"/>
  <c r="H37" i="4"/>
  <c r="G20" i="4"/>
  <c r="H20" i="4"/>
  <c r="G11" i="4"/>
  <c r="H11" i="4"/>
  <c r="G33" i="4"/>
  <c r="H33" i="4"/>
  <c r="G16" i="4"/>
  <c r="H16" i="4"/>
  <c r="O29" i="4"/>
  <c r="N29" i="4"/>
  <c r="O18" i="4"/>
  <c r="O26" i="4" l="1"/>
  <c r="O46" i="4"/>
  <c r="N11" i="4"/>
  <c r="N45" i="4"/>
  <c r="O38" i="4"/>
  <c r="O28" i="4"/>
  <c r="N42" i="4"/>
  <c r="C10" i="203"/>
  <c r="N20" i="4"/>
  <c r="O20" i="4"/>
  <c r="O33" i="4"/>
  <c r="N33" i="4"/>
  <c r="O24" i="4"/>
  <c r="N24" i="4"/>
  <c r="O36" i="4"/>
  <c r="N36" i="4"/>
  <c r="O17" i="4"/>
  <c r="N17" i="4"/>
  <c r="O49" i="4"/>
  <c r="N49" i="4"/>
  <c r="O23" i="4"/>
  <c r="N23" i="4"/>
  <c r="O43" i="4"/>
  <c r="N43" i="4"/>
  <c r="O41" i="4"/>
  <c r="N41" i="4"/>
  <c r="N19" i="4"/>
  <c r="O19" i="4"/>
  <c r="N34" i="4"/>
  <c r="O34" i="4"/>
  <c r="N16" i="4"/>
  <c r="O16" i="4"/>
  <c r="O11" i="4"/>
  <c r="G9" i="4"/>
  <c r="O37" i="4"/>
  <c r="N37" i="4"/>
  <c r="O12" i="4"/>
  <c r="N15" i="4"/>
  <c r="O15" i="4"/>
  <c r="O40" i="4"/>
  <c r="N40" i="4"/>
  <c r="O47" i="4"/>
  <c r="N47" i="4"/>
  <c r="N27" i="4"/>
  <c r="O27" i="4"/>
  <c r="O39" i="4"/>
  <c r="N39" i="4"/>
  <c r="N31" i="4"/>
  <c r="O31" i="4"/>
  <c r="O13" i="4"/>
  <c r="O21" i="4"/>
  <c r="N21" i="4"/>
  <c r="E11" i="203" l="1"/>
  <c r="C11" i="203" s="1"/>
  <c r="G10" i="203"/>
  <c r="F10" i="203"/>
  <c r="N8" i="4"/>
  <c r="O8" i="4"/>
  <c r="F11" i="203" l="1"/>
  <c r="E12" i="203"/>
  <c r="G11" i="203"/>
  <c r="C12" i="203"/>
  <c r="G12" i="203" s="1"/>
  <c r="P8" i="4"/>
  <c r="E13" i="203" l="1"/>
  <c r="C13" i="203" s="1"/>
  <c r="F12" i="203"/>
  <c r="G13" i="203" l="1"/>
  <c r="F13" i="203"/>
  <c r="E14" i="203"/>
  <c r="G14" i="203" l="1"/>
  <c r="F14" i="203"/>
  <c r="E15" i="203"/>
  <c r="C15" i="203" l="1"/>
  <c r="F15" i="203" l="1"/>
  <c r="G15" i="203"/>
  <c r="E16" i="203"/>
  <c r="C16" i="203" l="1"/>
  <c r="G16" i="203" l="1"/>
  <c r="F16" i="203"/>
  <c r="E17" i="203"/>
  <c r="C17" i="203" l="1"/>
  <c r="G17" i="203" l="1"/>
  <c r="F17" i="203"/>
  <c r="E18" i="203"/>
  <c r="C18" i="203" s="1"/>
  <c r="E19" i="203" l="1"/>
  <c r="C19" i="203" s="1"/>
  <c r="G18" i="203"/>
  <c r="F18" i="203"/>
  <c r="F19" i="203" l="1"/>
  <c r="E20" i="203"/>
  <c r="G19" i="203"/>
  <c r="C20" i="203" l="1"/>
  <c r="G20" i="203" l="1"/>
  <c r="F20" i="203"/>
  <c r="E21" i="203"/>
  <c r="C21" i="203" s="1"/>
  <c r="F21" i="203" l="1"/>
  <c r="G21" i="203"/>
  <c r="E22" i="203"/>
  <c r="C22" i="203" s="1"/>
  <c r="F22" i="203" l="1"/>
  <c r="E23" i="203"/>
  <c r="G22" i="203"/>
  <c r="C23" i="203" l="1"/>
  <c r="F23" i="203" l="1"/>
  <c r="E24" i="203"/>
  <c r="C24" i="203" s="1"/>
  <c r="G23" i="203"/>
  <c r="F24" i="203" l="1"/>
  <c r="G24" i="203"/>
  <c r="E25" i="203"/>
  <c r="C25" i="203" s="1"/>
  <c r="G25" i="203" l="1"/>
  <c r="F25" i="203" l="1"/>
  <c r="E26" i="203"/>
  <c r="C26" i="203" s="1"/>
  <c r="E27" i="203" l="1"/>
  <c r="C27" i="203" s="1"/>
  <c r="G26" i="203"/>
  <c r="F26" i="203"/>
  <c r="F27" i="203" l="1"/>
  <c r="G27" i="203"/>
  <c r="E28" i="203"/>
  <c r="C28" i="203" s="1"/>
  <c r="G28" i="203" l="1"/>
  <c r="F28" i="203"/>
  <c r="E29" i="203"/>
  <c r="E30" i="203" l="1"/>
  <c r="F29" i="203"/>
  <c r="G29" i="203"/>
  <c r="F30" i="203" l="1"/>
  <c r="G30" i="203"/>
  <c r="E31" i="203"/>
  <c r="E32" i="203" l="1"/>
  <c r="F31" i="203"/>
  <c r="G31" i="203"/>
  <c r="G32" i="203" l="1"/>
  <c r="F32" i="203"/>
  <c r="E33" i="203"/>
  <c r="F33" i="203" l="1"/>
  <c r="G33" i="203"/>
  <c r="E34" i="203"/>
  <c r="E35" i="203" l="1"/>
  <c r="F34" i="203"/>
  <c r="G34" i="203"/>
  <c r="E36" i="203" l="1"/>
  <c r="F35" i="203"/>
  <c r="G35" i="203"/>
  <c r="F36" i="203" l="1"/>
  <c r="G36" i="203"/>
  <c r="E37" i="203"/>
  <c r="E38" i="203" l="1"/>
  <c r="G37" i="203"/>
  <c r="F37" i="203"/>
  <c r="E39" i="203" l="1"/>
  <c r="F38" i="203"/>
  <c r="G38" i="203"/>
  <c r="F39" i="203" l="1"/>
  <c r="G39" i="203"/>
  <c r="E40" i="203"/>
  <c r="E41" i="203" l="1"/>
  <c r="F40" i="203"/>
  <c r="G40" i="203"/>
  <c r="E42" i="203" l="1"/>
  <c r="F41" i="203"/>
  <c r="G41" i="203"/>
  <c r="C42" i="203" l="1"/>
  <c r="E43" i="203" l="1"/>
  <c r="F42" i="203"/>
  <c r="G42" i="203"/>
  <c r="C43" i="203" l="1"/>
  <c r="E44" i="203" l="1"/>
  <c r="G43" i="203"/>
  <c r="F43" i="203"/>
  <c r="C44" i="203"/>
  <c r="G44" i="203" l="1"/>
  <c r="F44" i="203"/>
  <c r="E45" i="203"/>
  <c r="C45" i="203" l="1"/>
  <c r="F45" i="203" l="1"/>
  <c r="G45" i="203"/>
  <c r="E46" i="203"/>
  <c r="C46" i="203" l="1"/>
  <c r="E47" i="203" l="1"/>
  <c r="C47" i="203" s="1"/>
  <c r="F46" i="203"/>
  <c r="G46" i="203"/>
  <c r="F47" i="203" l="1"/>
  <c r="G47" i="203"/>
  <c r="E48" i="203"/>
  <c r="C48" i="203" s="1"/>
  <c r="G48" i="203" l="1"/>
  <c r="F48" i="203"/>
  <c r="E49" i="203"/>
  <c r="C49" i="203" l="1"/>
  <c r="G49" i="203" l="1"/>
  <c r="F49" i="203"/>
  <c r="E50" i="203"/>
  <c r="C50" i="203" l="1"/>
  <c r="E51" i="203" l="1"/>
  <c r="F50" i="203"/>
  <c r="G50" i="203"/>
  <c r="C51" i="203" l="1"/>
  <c r="E52" i="203" l="1"/>
  <c r="G51" i="203"/>
  <c r="F51" i="203"/>
  <c r="C52" i="203"/>
  <c r="G52" i="203" l="1"/>
  <c r="F52" i="203"/>
  <c r="E53" i="203"/>
  <c r="C53" i="203" l="1"/>
  <c r="G53" i="203" l="1"/>
  <c r="F53" i="203"/>
  <c r="E54" i="203"/>
  <c r="C54" i="203" s="1"/>
  <c r="E55" i="203" l="1"/>
  <c r="F54" i="203"/>
  <c r="G54" i="203"/>
  <c r="C55" i="203" l="1"/>
  <c r="E56" i="203" l="1"/>
  <c r="C56" i="203" s="1"/>
  <c r="G55" i="203"/>
  <c r="F55" i="203"/>
  <c r="F56" i="203" l="1"/>
  <c r="G56" i="203"/>
  <c r="E57" i="203"/>
  <c r="F57" i="203" l="1"/>
  <c r="E58" i="203"/>
  <c r="G57" i="203"/>
  <c r="G58" i="203" l="1"/>
  <c r="F58" i="203"/>
  <c r="E59" i="203"/>
  <c r="C59" i="203" l="1"/>
  <c r="G59" i="203" l="1"/>
  <c r="F59" i="203"/>
  <c r="E60" i="203"/>
  <c r="C60" i="203" s="1"/>
  <c r="G60" i="203" l="1"/>
  <c r="F60" i="203"/>
  <c r="E61" i="203"/>
  <c r="C61" i="203" l="1"/>
  <c r="G61" i="203" l="1"/>
  <c r="E62" i="203"/>
  <c r="F61" i="203"/>
  <c r="C62" i="203" l="1"/>
  <c r="E63" i="203" l="1"/>
  <c r="F62" i="203"/>
  <c r="G62" i="203"/>
  <c r="C63" i="203" l="1"/>
  <c r="E64" i="203" l="1"/>
  <c r="G63" i="203"/>
  <c r="C64" i="203"/>
  <c r="F63" i="203"/>
  <c r="G64" i="203" l="1"/>
  <c r="F64" i="203"/>
  <c r="E65" i="203"/>
  <c r="C65" i="203" s="1"/>
  <c r="G65" i="203" l="1"/>
  <c r="E66" i="203"/>
  <c r="C66" i="203" s="1"/>
  <c r="F65" i="203"/>
  <c r="E67" i="203" l="1"/>
  <c r="F66" i="203"/>
  <c r="G66" i="203"/>
  <c r="C67" i="203" l="1"/>
  <c r="E68" i="203" l="1"/>
  <c r="C68" i="203" s="1"/>
  <c r="G67" i="203"/>
  <c r="F67" i="203"/>
  <c r="G68" i="203" l="1"/>
  <c r="E69" i="203"/>
  <c r="C69" i="203" s="1"/>
  <c r="F68" i="203"/>
  <c r="E70" i="203" l="1"/>
  <c r="C70" i="203" s="1"/>
  <c r="G69" i="203"/>
  <c r="F69" i="203"/>
  <c r="F70" i="203" l="1"/>
  <c r="E71" i="203"/>
  <c r="C71" i="203" s="1"/>
  <c r="G70" i="203"/>
  <c r="G71" i="203" l="1"/>
  <c r="E72" i="203"/>
  <c r="F71" i="203"/>
  <c r="C72" i="203" l="1"/>
  <c r="G72" i="203" l="1"/>
  <c r="F72" i="203"/>
  <c r="E73" i="203"/>
  <c r="C73" i="203" s="1"/>
  <c r="E74" i="203" l="1"/>
  <c r="G73" i="203"/>
  <c r="F73" i="203"/>
  <c r="C74" i="203"/>
  <c r="F74" i="203" l="1"/>
  <c r="E75" i="203"/>
  <c r="G74" i="203"/>
  <c r="C75" i="203" l="1"/>
  <c r="E76" i="203" l="1"/>
  <c r="G75" i="203"/>
  <c r="F75" i="203"/>
  <c r="C76" i="203" l="1"/>
  <c r="G76" i="203" l="1"/>
  <c r="F76" i="203"/>
  <c r="E77" i="203"/>
  <c r="C77" i="203" l="1"/>
  <c r="E78" i="203" l="1"/>
  <c r="C78" i="203" s="1"/>
  <c r="G77" i="203"/>
  <c r="F77" i="203"/>
  <c r="E79" i="203" l="1"/>
  <c r="F78" i="203"/>
  <c r="G78" i="203"/>
  <c r="C79" i="203" l="1"/>
  <c r="F79" i="203" l="1"/>
  <c r="G79" i="203"/>
  <c r="E80" i="203"/>
  <c r="C80" i="203" s="1"/>
  <c r="G80" i="203" l="1"/>
  <c r="F80" i="203"/>
  <c r="E81" i="203"/>
  <c r="C81" i="203"/>
  <c r="G81" i="203" l="1"/>
  <c r="E82" i="203"/>
  <c r="F81" i="203"/>
  <c r="C82" i="203" l="1"/>
  <c r="E83" i="203" l="1"/>
  <c r="C83" i="203"/>
  <c r="F82" i="203"/>
  <c r="G82" i="203"/>
  <c r="F83" i="203" l="1"/>
  <c r="G83" i="203"/>
  <c r="E84" i="203"/>
  <c r="C84" i="203" l="1"/>
  <c r="G84" i="203" l="1"/>
  <c r="F84" i="203"/>
  <c r="E85" i="203"/>
  <c r="C85" i="203" l="1"/>
  <c r="F85" i="203" l="1"/>
  <c r="G85" i="203"/>
  <c r="E86" i="203"/>
  <c r="C86" i="203" l="1"/>
  <c r="E87" i="203" l="1"/>
  <c r="F86" i="203"/>
  <c r="C87" i="203"/>
  <c r="G86" i="203"/>
  <c r="E88" i="203" l="1"/>
  <c r="G87" i="203"/>
  <c r="F87" i="203"/>
  <c r="C88" i="203" l="1"/>
  <c r="G88" i="203" l="1"/>
  <c r="E89" i="203"/>
  <c r="F88" i="203"/>
  <c r="C89" i="203" l="1"/>
  <c r="F89" i="203" l="1"/>
  <c r="G89" i="203"/>
  <c r="E90" i="203"/>
  <c r="C90" i="203" l="1"/>
  <c r="F90" i="203" l="1"/>
  <c r="E91" i="203"/>
  <c r="G90" i="203"/>
  <c r="C91" i="203" l="1"/>
  <c r="F91" i="203" l="1"/>
  <c r="G91" i="203"/>
  <c r="E92" i="203"/>
  <c r="C92" i="203" l="1"/>
  <c r="G92" i="203" l="1"/>
  <c r="F92" i="203"/>
  <c r="E93" i="203"/>
  <c r="C93" i="203" l="1"/>
  <c r="F93" i="203" l="1"/>
  <c r="E94" i="203"/>
  <c r="G93" i="203"/>
  <c r="C94" i="203" l="1"/>
  <c r="F94" i="203" l="1"/>
  <c r="E95" i="203"/>
  <c r="G94" i="203"/>
  <c r="C95" i="203" l="1"/>
  <c r="E96" i="203" l="1"/>
  <c r="G95" i="203"/>
  <c r="F95" i="203"/>
  <c r="C96" i="203" l="1"/>
  <c r="F96" i="203" l="1"/>
  <c r="G96" i="203"/>
  <c r="E97" i="203"/>
  <c r="C97" i="203" l="1"/>
  <c r="E98" i="203" l="1"/>
  <c r="F97" i="203"/>
  <c r="G97" i="203"/>
  <c r="C98" i="203"/>
  <c r="F98" i="203" l="1"/>
  <c r="E99" i="203"/>
  <c r="G98" i="203"/>
  <c r="C99" i="203" l="1"/>
  <c r="G99" i="203" l="1"/>
  <c r="F99" i="203"/>
  <c r="E100" i="203"/>
  <c r="C100" i="203" l="1"/>
  <c r="G100" i="203" l="1"/>
  <c r="E101" i="203"/>
  <c r="F100" i="203"/>
  <c r="C101" i="203" l="1"/>
  <c r="E102" i="203" l="1"/>
  <c r="G101" i="203"/>
  <c r="C102" i="203"/>
  <c r="F101" i="203"/>
  <c r="F102" i="203" l="1"/>
  <c r="E103" i="203"/>
  <c r="G102" i="203"/>
  <c r="C103" i="203" l="1"/>
  <c r="E104" i="203" l="1"/>
  <c r="C104" i="203" s="1"/>
  <c r="G103" i="203"/>
  <c r="F103" i="203"/>
  <c r="G104" i="203" l="1"/>
  <c r="F104" i="203"/>
  <c r="E105" i="203"/>
  <c r="C105" i="203" l="1"/>
  <c r="G105" i="203" s="1"/>
  <c r="E106" i="203"/>
  <c r="C106" i="203" s="1"/>
  <c r="F105" i="203" l="1"/>
  <c r="E107" i="203" l="1"/>
  <c r="F106" i="203"/>
  <c r="G106" i="203"/>
  <c r="C107" i="203" l="1"/>
  <c r="E108" i="203" s="1"/>
  <c r="G107" i="203" l="1"/>
  <c r="F107" i="203"/>
  <c r="F108" i="203"/>
  <c r="G108" i="203"/>
  <c r="E109" i="203"/>
  <c r="F109" i="203" l="1"/>
  <c r="G109" i="203"/>
  <c r="E110" i="203"/>
  <c r="E111" i="203" l="1"/>
  <c r="F110" i="203"/>
  <c r="G110" i="203"/>
  <c r="E112" i="203" l="1"/>
  <c r="F111" i="203"/>
  <c r="G111" i="203"/>
  <c r="C112" i="203" l="1"/>
  <c r="G112" i="203" l="1"/>
  <c r="E113" i="203"/>
  <c r="F112" i="203"/>
  <c r="C113" i="203" l="1"/>
  <c r="E114" i="203" l="1"/>
  <c r="G113" i="203"/>
  <c r="F113" i="203"/>
  <c r="C114" i="203" l="1"/>
  <c r="G114" i="203" l="1"/>
  <c r="F114" i="203"/>
  <c r="E115" i="203"/>
  <c r="C115" i="203" l="1"/>
  <c r="G115" i="203" l="1"/>
  <c r="F115" i="203"/>
  <c r="E116" i="203"/>
  <c r="C116" i="203" l="1"/>
  <c r="G116" i="203" l="1"/>
  <c r="E117" i="203"/>
  <c r="F116" i="203"/>
  <c r="C117" i="203" l="1"/>
  <c r="G117" i="203" l="1"/>
  <c r="F117" i="203"/>
  <c r="E118" i="203"/>
  <c r="C118" i="203" l="1"/>
  <c r="F118" i="203" l="1"/>
  <c r="G118" i="203"/>
  <c r="E119" i="203"/>
  <c r="C119" i="203" l="1"/>
  <c r="F119" i="203" l="1"/>
  <c r="G119" i="203"/>
  <c r="E120" i="203"/>
  <c r="C120" i="203" l="1"/>
  <c r="E121" i="203" l="1"/>
  <c r="G120" i="203"/>
  <c r="F120" i="203"/>
  <c r="C121" i="203" l="1"/>
  <c r="F121" i="203" l="1"/>
  <c r="E122" i="203"/>
  <c r="G121" i="203"/>
  <c r="C122" i="203" l="1"/>
  <c r="G122" i="203" l="1"/>
  <c r="E123" i="203"/>
  <c r="F122" i="203"/>
  <c r="C123" i="203" l="1"/>
  <c r="E124" i="203" l="1"/>
  <c r="F123" i="203"/>
  <c r="G123" i="203"/>
  <c r="C124" i="203" l="1"/>
  <c r="G124" i="203" l="1"/>
  <c r="F124" i="203"/>
  <c r="E125" i="203"/>
  <c r="C125" i="203" l="1"/>
  <c r="G125" i="203" l="1"/>
  <c r="F125" i="203"/>
  <c r="E126" i="203"/>
  <c r="C126" i="203" l="1"/>
  <c r="F126" i="203" l="1"/>
  <c r="G126" i="203"/>
  <c r="E127" i="203"/>
  <c r="C127" i="203" l="1"/>
  <c r="F127" i="203" l="1"/>
  <c r="E128" i="203"/>
  <c r="G127" i="203"/>
  <c r="C128" i="203" l="1"/>
  <c r="E129" i="203" l="1"/>
  <c r="C129" i="203" s="1"/>
  <c r="G128" i="203"/>
  <c r="F128" i="203"/>
  <c r="F129" i="203" l="1"/>
  <c r="G129" i="203"/>
  <c r="E130" i="203"/>
  <c r="C130" i="203" l="1"/>
  <c r="F130" i="203"/>
  <c r="E131" i="203"/>
  <c r="G130" i="203"/>
  <c r="C131" i="203" l="1"/>
  <c r="E132" i="203" l="1"/>
  <c r="C132" i="203" s="1"/>
  <c r="F131" i="203"/>
  <c r="G131" i="203"/>
  <c r="G132" i="203" l="1"/>
  <c r="F132" i="203"/>
  <c r="E133" i="203"/>
  <c r="C133" i="203" l="1"/>
  <c r="F133" i="203" l="1"/>
  <c r="G133" i="203"/>
  <c r="E134" i="203"/>
  <c r="C134" i="203" l="1"/>
  <c r="F134" i="203" l="1"/>
  <c r="E135" i="203"/>
  <c r="G134" i="203"/>
  <c r="C135" i="203" l="1"/>
  <c r="F135" i="203" l="1"/>
  <c r="E136" i="203"/>
  <c r="G135" i="203"/>
  <c r="C136" i="203" l="1"/>
  <c r="E137" i="203" l="1"/>
  <c r="G136" i="203"/>
  <c r="F136" i="203"/>
  <c r="C137" i="203" l="1"/>
  <c r="G137" i="203" l="1"/>
  <c r="F137" i="203"/>
  <c r="E138" i="203"/>
  <c r="C138" i="203" l="1"/>
  <c r="E139" i="203" l="1"/>
  <c r="C139" i="203" s="1"/>
  <c r="G138" i="203"/>
  <c r="F138" i="203"/>
  <c r="E140" i="203" l="1"/>
  <c r="F139" i="203"/>
  <c r="G139" i="203"/>
  <c r="C140" i="203" l="1"/>
  <c r="F140" i="203" l="1"/>
  <c r="G140" i="203"/>
  <c r="E141" i="203"/>
  <c r="C141" i="203" l="1"/>
  <c r="F141" i="203" l="1"/>
  <c r="G141" i="203"/>
  <c r="E142" i="203"/>
  <c r="C142" i="203" l="1"/>
  <c r="E143" i="203" l="1"/>
  <c r="F142" i="203"/>
  <c r="G142" i="203"/>
  <c r="C143" i="203" l="1"/>
  <c r="F143" i="203" l="1"/>
  <c r="G143" i="203"/>
  <c r="E144" i="203"/>
  <c r="C144" i="203" l="1"/>
  <c r="E145" i="203" l="1"/>
  <c r="G144" i="203"/>
  <c r="C145" i="203"/>
  <c r="F144" i="203"/>
  <c r="G145" i="203" l="1"/>
  <c r="F145" i="203"/>
  <c r="E146" i="203"/>
  <c r="C146" i="203" l="1"/>
  <c r="E147" i="203" l="1"/>
  <c r="G146" i="203"/>
  <c r="F146" i="203"/>
  <c r="C147" i="203" l="1"/>
  <c r="E148" i="203" l="1"/>
  <c r="C148" i="203" s="1"/>
  <c r="F147" i="203"/>
  <c r="G147" i="203"/>
  <c r="G148" i="203" l="1"/>
  <c r="F148" i="203"/>
  <c r="E149" i="203"/>
  <c r="C149" i="203" l="1"/>
  <c r="F149" i="203" l="1"/>
  <c r="E150" i="203"/>
  <c r="G149" i="203"/>
  <c r="C150" i="203" l="1"/>
  <c r="G150" i="203" l="1"/>
  <c r="E151" i="203"/>
  <c r="F150" i="203"/>
  <c r="C151" i="203" l="1"/>
  <c r="G151" i="203" l="1"/>
  <c r="F151" i="203"/>
  <c r="E152" i="203"/>
  <c r="C152" i="203" l="1"/>
  <c r="G152" i="203" l="1"/>
  <c r="F152" i="203"/>
  <c r="E153" i="203"/>
  <c r="C153" i="203" l="1"/>
  <c r="G153" i="203" l="1"/>
  <c r="E154" i="203"/>
  <c r="C154" i="203" s="1"/>
  <c r="F153" i="203"/>
  <c r="E155" i="203" l="1"/>
  <c r="C155" i="203" s="1"/>
  <c r="G154" i="203"/>
  <c r="F154" i="203"/>
  <c r="F155" i="203" l="1"/>
  <c r="G155" i="203"/>
  <c r="E156" i="203"/>
  <c r="C156" i="203" l="1"/>
  <c r="G156" i="203" l="1"/>
  <c r="F156" i="203"/>
  <c r="E157" i="203"/>
  <c r="C157" i="203" s="1"/>
  <c r="G157" i="203" l="1"/>
  <c r="E158" i="203"/>
  <c r="C158" i="203" s="1"/>
  <c r="F157" i="203"/>
  <c r="E159" i="203" l="1"/>
  <c r="G158" i="203"/>
  <c r="F158" i="203"/>
  <c r="C159" i="203" l="1"/>
  <c r="G159" i="203" l="1"/>
  <c r="F159" i="203"/>
  <c r="E160" i="203"/>
  <c r="C160" i="203" l="1"/>
  <c r="G160" i="203" l="1"/>
  <c r="F160" i="203"/>
  <c r="E161" i="203"/>
  <c r="C161" i="203" l="1"/>
  <c r="G161" i="203" l="1"/>
  <c r="E162" i="203"/>
  <c r="F161" i="203"/>
  <c r="C162" i="203" l="1"/>
  <c r="E163" i="203" s="1"/>
  <c r="C163" i="203" l="1"/>
  <c r="E164" i="203" s="1"/>
  <c r="F162" i="203"/>
  <c r="G162" i="203"/>
  <c r="C164" i="203" l="1"/>
  <c r="E165" i="203" s="1"/>
  <c r="G164" i="203"/>
  <c r="F163" i="203"/>
  <c r="G163" i="203"/>
  <c r="F164" i="203" l="1"/>
  <c r="C165" i="203"/>
  <c r="F165" i="203" s="1"/>
  <c r="G165" i="203" l="1"/>
  <c r="H165" i="203"/>
  <c r="H164" i="203" l="1"/>
  <c r="J164" i="203" s="1"/>
  <c r="J165" i="203"/>
  <c r="H163" i="203"/>
  <c r="J163" i="203" s="1"/>
  <c r="H162" i="203" l="1"/>
  <c r="J162" i="203" s="1"/>
  <c r="H161" i="203" l="1"/>
  <c r="J161" i="203" s="1"/>
  <c r="H160" i="203" l="1"/>
  <c r="J160" i="203" s="1"/>
  <c r="H159" i="203" l="1"/>
  <c r="J159" i="203" s="1"/>
  <c r="H158" i="203" l="1"/>
  <c r="J158" i="203" s="1"/>
  <c r="H157" i="203" l="1"/>
  <c r="J157" i="203" s="1"/>
  <c r="H156" i="203" l="1"/>
  <c r="J156" i="203" s="1"/>
  <c r="H155" i="203" l="1"/>
  <c r="J155" i="203" s="1"/>
  <c r="H154" i="203" l="1"/>
  <c r="J154" i="203" s="1"/>
  <c r="H153" i="203" l="1"/>
  <c r="J153" i="203" s="1"/>
  <c r="H152" i="203" l="1"/>
  <c r="J152" i="203" s="1"/>
  <c r="H151" i="203" l="1"/>
  <c r="J151" i="203" s="1"/>
  <c r="H150" i="203" l="1"/>
  <c r="J150" i="203" s="1"/>
  <c r="H149" i="203" l="1"/>
  <c r="J149" i="203" s="1"/>
  <c r="H148" i="203" l="1"/>
  <c r="J148" i="203" s="1"/>
  <c r="H147" i="203" l="1"/>
  <c r="J147" i="203" s="1"/>
  <c r="H146" i="203" l="1"/>
  <c r="J146" i="203" s="1"/>
  <c r="H145" i="203" l="1"/>
  <c r="J145" i="203" s="1"/>
  <c r="H144" i="203" l="1"/>
  <c r="J144" i="203" s="1"/>
  <c r="H143" i="203" l="1"/>
  <c r="J143" i="203" s="1"/>
  <c r="H142" i="203" l="1"/>
  <c r="J142" i="203" s="1"/>
  <c r="H141" i="203" l="1"/>
  <c r="J141" i="203" s="1"/>
  <c r="H140" i="203" l="1"/>
  <c r="J140" i="203" s="1"/>
  <c r="H139" i="203" l="1"/>
  <c r="J139" i="203" s="1"/>
  <c r="H138" i="203" l="1"/>
  <c r="J138" i="203" s="1"/>
  <c r="H137" i="203" l="1"/>
  <c r="J137" i="203" s="1"/>
  <c r="H136" i="203" l="1"/>
  <c r="J136" i="203" s="1"/>
  <c r="H135" i="203" l="1"/>
  <c r="J135" i="203" s="1"/>
  <c r="H134" i="203" l="1"/>
  <c r="J134" i="203" s="1"/>
  <c r="H133" i="203" l="1"/>
  <c r="J133" i="203" s="1"/>
  <c r="H132" i="203" l="1"/>
  <c r="J132" i="203" s="1"/>
  <c r="H131" i="203" l="1"/>
  <c r="J131" i="203" s="1"/>
  <c r="H130" i="203" l="1"/>
  <c r="J130" i="203" s="1"/>
  <c r="H129" i="203" l="1"/>
  <c r="J129" i="203" s="1"/>
  <c r="H128" i="203" l="1"/>
  <c r="J128" i="203" s="1"/>
  <c r="H127" i="203" l="1"/>
  <c r="J127" i="203" s="1"/>
  <c r="H126" i="203" l="1"/>
  <c r="J126" i="203" s="1"/>
  <c r="H125" i="203" l="1"/>
  <c r="J125" i="203" s="1"/>
  <c r="H124" i="203" l="1"/>
  <c r="J124" i="203" s="1"/>
  <c r="H123" i="203" l="1"/>
  <c r="J123" i="203" s="1"/>
  <c r="H122" i="203" l="1"/>
  <c r="J122" i="203" s="1"/>
  <c r="H121" i="203" l="1"/>
  <c r="J121" i="203" s="1"/>
  <c r="H120" i="203" l="1"/>
  <c r="J120" i="203" s="1"/>
  <c r="H119" i="203" l="1"/>
  <c r="J119" i="203" s="1"/>
  <c r="H118" i="203" l="1"/>
  <c r="J118" i="203" s="1"/>
  <c r="H117" i="203" l="1"/>
  <c r="J117" i="203" s="1"/>
  <c r="H116" i="203" l="1"/>
  <c r="J116" i="203" s="1"/>
  <c r="H115" i="203" l="1"/>
  <c r="J115" i="203" s="1"/>
  <c r="H114" i="203" l="1"/>
  <c r="J114" i="203" s="1"/>
  <c r="H113" i="203" l="1"/>
  <c r="J113" i="203" s="1"/>
  <c r="H112" i="203" l="1"/>
  <c r="J112" i="203" s="1"/>
  <c r="H111" i="203" l="1"/>
  <c r="J111" i="203" s="1"/>
  <c r="H110" i="203" l="1"/>
  <c r="J110" i="203" s="1"/>
  <c r="H109" i="203" l="1"/>
  <c r="J109" i="203" s="1"/>
  <c r="H108" i="203" l="1"/>
  <c r="J108" i="203" s="1"/>
  <c r="H107" i="203" l="1"/>
  <c r="J107" i="203" s="1"/>
  <c r="H106" i="203" l="1"/>
  <c r="J106" i="203" s="1"/>
  <c r="H105" i="203" l="1"/>
  <c r="J105" i="203" s="1"/>
  <c r="H104" i="203" l="1"/>
  <c r="J104" i="203" s="1"/>
  <c r="H103" i="203" l="1"/>
  <c r="J103" i="203" s="1"/>
  <c r="H102" i="203" l="1"/>
  <c r="J102" i="203" s="1"/>
  <c r="H101" i="203" l="1"/>
  <c r="J101" i="203" s="1"/>
  <c r="H100" i="203" l="1"/>
  <c r="J100" i="203" s="1"/>
  <c r="H99" i="203" l="1"/>
  <c r="J99" i="203" s="1"/>
  <c r="H98" i="203" l="1"/>
  <c r="J98" i="203" s="1"/>
  <c r="H97" i="203" l="1"/>
  <c r="J97" i="203" s="1"/>
  <c r="H96" i="203" l="1"/>
  <c r="J96" i="203" s="1"/>
  <c r="H95" i="203" l="1"/>
  <c r="J95" i="203" s="1"/>
  <c r="H94" i="203" l="1"/>
  <c r="J94" i="203" s="1"/>
  <c r="H93" i="203" l="1"/>
  <c r="J93" i="203" s="1"/>
  <c r="H92" i="203" l="1"/>
  <c r="J92" i="203" s="1"/>
  <c r="H91" i="203" l="1"/>
  <c r="J91" i="203" s="1"/>
  <c r="H90" i="203" l="1"/>
  <c r="J90" i="203" s="1"/>
  <c r="H89" i="203" l="1"/>
  <c r="J89" i="203" s="1"/>
  <c r="H88" i="203" l="1"/>
  <c r="J88" i="203" s="1"/>
  <c r="H87" i="203" l="1"/>
  <c r="J87" i="203" s="1"/>
  <c r="H86" i="203" l="1"/>
  <c r="J86" i="203" s="1"/>
  <c r="H85" i="203" l="1"/>
  <c r="J85" i="203" s="1"/>
  <c r="H84" i="203" l="1"/>
  <c r="J84" i="203" s="1"/>
  <c r="H83" i="203" l="1"/>
  <c r="J83" i="203" s="1"/>
  <c r="H82" i="203" l="1"/>
  <c r="J82" i="203" s="1"/>
  <c r="H81" i="203" l="1"/>
  <c r="J81" i="203" s="1"/>
  <c r="H80" i="203" l="1"/>
  <c r="J80" i="203" s="1"/>
  <c r="H79" i="203" l="1"/>
  <c r="J79" i="203" s="1"/>
  <c r="H78" i="203" l="1"/>
  <c r="J78" i="203" s="1"/>
  <c r="H77" i="203" l="1"/>
  <c r="J77" i="203" s="1"/>
  <c r="H76" i="203" l="1"/>
  <c r="J76" i="203" s="1"/>
  <c r="H75" i="203" l="1"/>
  <c r="J75" i="203" s="1"/>
  <c r="H74" i="203" l="1"/>
  <c r="J74" i="203" s="1"/>
  <c r="H73" i="203" l="1"/>
  <c r="J73" i="203" s="1"/>
  <c r="H72" i="203" l="1"/>
  <c r="J72" i="203" s="1"/>
  <c r="H71" i="203" l="1"/>
  <c r="J71" i="203" s="1"/>
  <c r="H70" i="203" l="1"/>
  <c r="J70" i="203" s="1"/>
  <c r="H69" i="203" l="1"/>
  <c r="J69" i="203" s="1"/>
  <c r="H68" i="203" l="1"/>
  <c r="J68" i="203" s="1"/>
  <c r="H67" i="203" l="1"/>
  <c r="J67" i="203" s="1"/>
  <c r="H66" i="203" l="1"/>
  <c r="J66" i="203" s="1"/>
  <c r="H65" i="203" l="1"/>
  <c r="J65" i="203" s="1"/>
  <c r="H64" i="203" l="1"/>
  <c r="J64" i="203" s="1"/>
  <c r="H63" i="203" l="1"/>
  <c r="J63" i="203" s="1"/>
  <c r="H62" i="203" l="1"/>
  <c r="J62" i="203" s="1"/>
  <c r="H61" i="203" l="1"/>
  <c r="J61" i="203" s="1"/>
  <c r="H60" i="203" l="1"/>
  <c r="J60" i="203" s="1"/>
  <c r="H59" i="203" l="1"/>
  <c r="J59" i="203" s="1"/>
  <c r="H58" i="203" l="1"/>
  <c r="J58" i="203" s="1"/>
  <c r="H57" i="203" l="1"/>
  <c r="J57" i="203" s="1"/>
  <c r="H56" i="203" l="1"/>
  <c r="J56" i="203" s="1"/>
  <c r="H55" i="203" l="1"/>
  <c r="J55" i="203" s="1"/>
  <c r="H54" i="203" l="1"/>
  <c r="J54" i="203" s="1"/>
  <c r="H53" i="203" l="1"/>
  <c r="J53" i="203" s="1"/>
  <c r="H52" i="203" l="1"/>
  <c r="J52" i="203" s="1"/>
  <c r="H51" i="203" l="1"/>
  <c r="J51" i="203" s="1"/>
  <c r="H50" i="203" l="1"/>
  <c r="J50" i="203" s="1"/>
  <c r="H49" i="203" l="1"/>
  <c r="J49" i="203" s="1"/>
  <c r="H48" i="203" l="1"/>
  <c r="J48" i="203" s="1"/>
  <c r="H47" i="203" l="1"/>
  <c r="J47" i="203" s="1"/>
  <c r="H46" i="203" l="1"/>
  <c r="J46" i="203" s="1"/>
  <c r="H45" i="203" l="1"/>
  <c r="J45" i="203" s="1"/>
  <c r="H44" i="203" l="1"/>
  <c r="J44" i="203" s="1"/>
  <c r="H43" i="203" l="1"/>
  <c r="J43" i="203" s="1"/>
  <c r="H42" i="203" l="1"/>
  <c r="J42" i="203" s="1"/>
  <c r="H41" i="203" l="1"/>
  <c r="J41" i="203" s="1"/>
  <c r="H40" i="203" l="1"/>
  <c r="J40" i="203" s="1"/>
  <c r="H39" i="203" l="1"/>
  <c r="J39" i="203" s="1"/>
  <c r="H38" i="203" l="1"/>
  <c r="J38" i="203" s="1"/>
  <c r="H37" i="203" l="1"/>
  <c r="J37" i="203" s="1"/>
  <c r="H36" i="203" l="1"/>
  <c r="J36" i="203" s="1"/>
  <c r="H35" i="203" l="1"/>
  <c r="J35" i="203" s="1"/>
  <c r="H34" i="203" l="1"/>
  <c r="J34" i="203" s="1"/>
  <c r="H33" i="203" l="1"/>
  <c r="J33" i="203" s="1"/>
  <c r="H32" i="203" l="1"/>
  <c r="J32" i="203" s="1"/>
  <c r="H31" i="203" l="1"/>
  <c r="J31" i="203" s="1"/>
  <c r="H30" i="203" l="1"/>
  <c r="J30" i="203" s="1"/>
  <c r="H29" i="203" l="1"/>
  <c r="J29" i="203" s="1"/>
  <c r="H28" i="203" l="1"/>
  <c r="J28" i="203" s="1"/>
  <c r="H27" i="203" l="1"/>
  <c r="J27" i="203" s="1"/>
  <c r="H26" i="203" l="1"/>
  <c r="J26" i="203" s="1"/>
  <c r="H25" i="203" l="1"/>
  <c r="J25" i="203" s="1"/>
  <c r="H24" i="203" l="1"/>
  <c r="J24" i="203" s="1"/>
  <c r="H23" i="203" l="1"/>
  <c r="J23" i="203" s="1"/>
  <c r="H22" i="203" l="1"/>
  <c r="J22" i="203" s="1"/>
  <c r="H21" i="203" l="1"/>
  <c r="J21" i="203" s="1"/>
  <c r="H20" i="203" l="1"/>
  <c r="J20" i="203" s="1"/>
  <c r="H19" i="203" l="1"/>
  <c r="J19" i="203" s="1"/>
  <c r="H18" i="203" l="1"/>
  <c r="J18" i="203" s="1"/>
  <c r="H17" i="203" l="1"/>
  <c r="J17" i="203" s="1"/>
  <c r="H16" i="203" l="1"/>
  <c r="J16" i="203" s="1"/>
  <c r="H15" i="203" l="1"/>
  <c r="J15" i="203" s="1"/>
  <c r="H14" i="203" l="1"/>
  <c r="J14" i="203" s="1"/>
  <c r="H13" i="203" l="1"/>
  <c r="J13" i="203" s="1"/>
  <c r="H12" i="203" l="1"/>
  <c r="H11" i="203" l="1"/>
  <c r="J12" i="203"/>
  <c r="J11" i="203" l="1"/>
  <c r="H10" i="203"/>
  <c r="H9" i="203" l="1"/>
  <c r="J10" i="203"/>
  <c r="J9" i="203" l="1"/>
  <c r="H8" i="203"/>
  <c r="J8" i="203" l="1"/>
  <c r="H7" i="203"/>
  <c r="H6" i="203" l="1"/>
  <c r="J7" i="203"/>
  <c r="J6" i="203" l="1"/>
  <c r="H5" i="203"/>
  <c r="H4" i="203" l="1"/>
  <c r="J5" i="203"/>
  <c r="H3" i="203" l="1"/>
  <c r="H2" i="203" s="1"/>
  <c r="J4" i="203"/>
  <c r="J2" i="203" l="1"/>
  <c r="J3" i="203"/>
  <c r="K2" i="203" l="1"/>
  <c r="L2" i="203"/>
  <c r="M2" i="203" l="1"/>
  <c r="K3" i="203"/>
  <c r="L3" i="203"/>
  <c r="L4" i="203" l="1"/>
  <c r="K4" i="203"/>
  <c r="M3" i="203"/>
  <c r="L5" i="203" l="1"/>
  <c r="M4" i="203"/>
  <c r="K5" i="203"/>
  <c r="M5" i="203" l="1"/>
  <c r="L6" i="203"/>
  <c r="K6" i="203"/>
  <c r="M6" i="203" l="1"/>
  <c r="L7" i="203"/>
  <c r="K7" i="203"/>
  <c r="M7" i="203" l="1"/>
  <c r="K8" i="203"/>
  <c r="L8" i="203"/>
  <c r="K9" i="203" l="1"/>
  <c r="M8" i="203"/>
  <c r="L9" i="203"/>
  <c r="M9" i="203" l="1"/>
  <c r="L10" i="203"/>
  <c r="K10" i="203"/>
  <c r="L11" i="203" l="1"/>
  <c r="K11" i="203"/>
  <c r="M10" i="203"/>
  <c r="L12" i="203" l="1"/>
  <c r="M11" i="203"/>
  <c r="K12" i="203"/>
  <c r="M12" i="203" l="1"/>
  <c r="L13" i="203"/>
  <c r="K13" i="203"/>
  <c r="K14" i="203" l="1"/>
  <c r="L14" i="203"/>
  <c r="M13" i="203"/>
  <c r="M14" i="203" l="1"/>
  <c r="L15" i="203"/>
  <c r="K15" i="203"/>
  <c r="M15" i="203" l="1"/>
  <c r="K16" i="203"/>
  <c r="L16" i="203"/>
  <c r="M16" i="203" l="1"/>
  <c r="L17" i="203"/>
  <c r="K17" i="203"/>
  <c r="L18" i="203" l="1"/>
  <c r="M17" i="203"/>
  <c r="K18" i="203"/>
  <c r="L19" i="203" l="1"/>
  <c r="M18" i="203"/>
  <c r="K19" i="203"/>
  <c r="K20" i="203" l="1"/>
  <c r="L20" i="203"/>
  <c r="M19" i="203"/>
  <c r="L21" i="203" l="1"/>
  <c r="M20" i="203"/>
  <c r="K21" i="203"/>
  <c r="M21" i="203" l="1"/>
  <c r="K22" i="203"/>
  <c r="L22" i="203"/>
  <c r="M22" i="203" l="1"/>
  <c r="L23" i="203"/>
  <c r="K23" i="203"/>
  <c r="M23" i="203" l="1"/>
  <c r="L24" i="203"/>
  <c r="K24" i="203"/>
  <c r="K25" i="203" l="1"/>
  <c r="M24" i="203"/>
  <c r="L25" i="203"/>
  <c r="M25" i="203" l="1"/>
  <c r="L26" i="203"/>
  <c r="K26" i="203"/>
  <c r="M26" i="203" l="1"/>
  <c r="K27" i="203"/>
  <c r="L27" i="203"/>
  <c r="M27" i="203" l="1"/>
  <c r="L28" i="203"/>
  <c r="K28" i="203"/>
  <c r="L29" i="203" l="1"/>
  <c r="M28" i="203"/>
  <c r="K29" i="203"/>
  <c r="L30" i="203" l="1"/>
  <c r="K30" i="203"/>
  <c r="M29" i="203"/>
  <c r="L31" i="203" l="1"/>
  <c r="K31" i="203"/>
  <c r="M30" i="203"/>
  <c r="L32" i="203" l="1"/>
  <c r="M31" i="203"/>
  <c r="K32" i="203"/>
  <c r="M32" i="203" l="1"/>
  <c r="L33" i="203"/>
  <c r="K33" i="203"/>
  <c r="L34" i="203" l="1"/>
  <c r="K34" i="203"/>
  <c r="M33" i="203"/>
  <c r="L35" i="203" l="1"/>
  <c r="M34" i="203"/>
  <c r="K35" i="203"/>
  <c r="M35" i="203" l="1"/>
  <c r="L36" i="203"/>
  <c r="K36" i="203"/>
  <c r="L37" i="203" l="1"/>
  <c r="M36" i="203"/>
  <c r="K37" i="203"/>
  <c r="M37" i="203" l="1"/>
  <c r="K38" i="203"/>
  <c r="L38" i="203"/>
  <c r="L39" i="203" l="1"/>
  <c r="K39" i="203"/>
  <c r="M38" i="203"/>
  <c r="M39" i="203" l="1"/>
  <c r="L40" i="203"/>
  <c r="K40" i="203"/>
  <c r="L41" i="203" l="1"/>
  <c r="M40" i="203"/>
  <c r="K41" i="203"/>
  <c r="M41" i="203" l="1"/>
  <c r="K42" i="203"/>
  <c r="L42" i="203"/>
  <c r="M42" i="203" l="1"/>
  <c r="K43" i="203"/>
  <c r="L43" i="203"/>
  <c r="K44" i="203" l="1"/>
  <c r="M43" i="203"/>
  <c r="L44" i="203"/>
  <c r="M44" i="203" l="1"/>
  <c r="K45" i="203"/>
  <c r="L45" i="203"/>
  <c r="M45" i="203" l="1"/>
  <c r="K46" i="203"/>
  <c r="L46" i="203"/>
  <c r="M46" i="203" l="1"/>
  <c r="L47" i="203"/>
  <c r="K47" i="203"/>
  <c r="K48" i="203" l="1"/>
  <c r="L48" i="203"/>
  <c r="M47" i="203"/>
  <c r="M48" i="203" l="1"/>
  <c r="K49" i="203"/>
  <c r="L49" i="203"/>
  <c r="M49" i="203" l="1"/>
  <c r="L50" i="203"/>
  <c r="K50" i="203"/>
  <c r="M50" i="203" l="1"/>
  <c r="K51" i="203"/>
  <c r="L51" i="203"/>
  <c r="K52" i="203" l="1"/>
  <c r="L52" i="203"/>
  <c r="M51" i="203"/>
  <c r="M52" i="203" l="1"/>
  <c r="L53" i="203"/>
  <c r="K53" i="203"/>
  <c r="M53" i="203" l="1"/>
  <c r="L54" i="203"/>
  <c r="K54" i="203"/>
  <c r="M54" i="203" l="1"/>
  <c r="K55" i="203"/>
  <c r="L55" i="203"/>
  <c r="M55" i="203" l="1"/>
  <c r="L56" i="203"/>
  <c r="K56" i="203"/>
  <c r="L57" i="203" l="1"/>
  <c r="M56" i="203"/>
  <c r="K57" i="203"/>
  <c r="L58" i="203" l="1"/>
  <c r="K58" i="203"/>
  <c r="M57" i="203"/>
  <c r="M58" i="203" l="1"/>
  <c r="K59" i="203"/>
  <c r="L59" i="203"/>
  <c r="M59" i="203" l="1"/>
  <c r="L60" i="203"/>
  <c r="K60" i="203"/>
  <c r="M60" i="203" l="1"/>
  <c r="K61" i="203"/>
  <c r="L61" i="203"/>
  <c r="K62" i="203" l="1"/>
  <c r="L62" i="203"/>
  <c r="M61" i="203"/>
  <c r="L63" i="203" l="1"/>
  <c r="M62" i="203"/>
  <c r="K63" i="203"/>
  <c r="K64" i="203" l="1"/>
  <c r="M63" i="203"/>
  <c r="L64" i="203"/>
  <c r="M64" i="203" l="1"/>
  <c r="L65" i="203"/>
  <c r="K65" i="203"/>
  <c r="M65" i="203" l="1"/>
  <c r="K66" i="203"/>
  <c r="L66" i="203"/>
  <c r="M66" i="203" l="1"/>
  <c r="K67" i="203"/>
  <c r="L67" i="203"/>
  <c r="K68" i="203" l="1"/>
  <c r="L68" i="203"/>
  <c r="M67" i="203"/>
  <c r="K69" i="203" l="1"/>
  <c r="L69" i="203"/>
  <c r="M68" i="203"/>
  <c r="M69" i="203" l="1"/>
  <c r="K70" i="203"/>
  <c r="L70" i="203"/>
  <c r="L71" i="203" l="1"/>
  <c r="K71" i="203"/>
  <c r="M70" i="203"/>
  <c r="L72" i="203" l="1"/>
  <c r="M71" i="203"/>
  <c r="K72" i="203"/>
  <c r="K73" i="203" l="1"/>
  <c r="M72" i="203"/>
  <c r="L73" i="203"/>
  <c r="M73" i="203" l="1"/>
  <c r="K74" i="203"/>
  <c r="L74" i="203"/>
  <c r="M74" i="203" l="1"/>
  <c r="K75" i="203"/>
  <c r="L75" i="203"/>
  <c r="K76" i="203" l="1"/>
  <c r="M75" i="203"/>
  <c r="L76" i="203"/>
  <c r="L77" i="203" l="1"/>
  <c r="K77" i="203"/>
  <c r="M76" i="203"/>
  <c r="M77" i="203" l="1"/>
  <c r="L78" i="203"/>
  <c r="K78" i="203"/>
  <c r="K79" i="203" l="1"/>
  <c r="M78" i="203"/>
  <c r="L79" i="203"/>
  <c r="K80" i="203" l="1"/>
  <c r="L80" i="203"/>
  <c r="M79" i="203"/>
  <c r="M80" i="203" l="1"/>
  <c r="L81" i="203"/>
  <c r="K81" i="203"/>
  <c r="L82" i="203" l="1"/>
  <c r="M81" i="203"/>
  <c r="K82" i="203"/>
  <c r="M82" i="203" l="1"/>
  <c r="K83" i="203"/>
  <c r="L83" i="203"/>
  <c r="M83" i="203" l="1"/>
  <c r="L84" i="203"/>
  <c r="K84" i="203"/>
  <c r="L85" i="203" l="1"/>
  <c r="K85" i="203"/>
  <c r="M84" i="203"/>
  <c r="M85" i="203" l="1"/>
  <c r="L86" i="203"/>
  <c r="K86" i="203"/>
  <c r="L87" i="203" l="1"/>
  <c r="K87" i="203"/>
  <c r="M86" i="203"/>
  <c r="M87" i="203" l="1"/>
  <c r="K88" i="203"/>
  <c r="L88" i="203"/>
  <c r="K89" i="203" l="1"/>
  <c r="M88" i="203"/>
  <c r="L89" i="203"/>
  <c r="M89" i="203" l="1"/>
  <c r="K90" i="203"/>
  <c r="L90" i="203"/>
  <c r="M90" i="203" l="1"/>
  <c r="K91" i="203"/>
  <c r="L91" i="203"/>
  <c r="M91" i="203" l="1"/>
  <c r="L92" i="203"/>
  <c r="K92" i="203"/>
  <c r="M92" i="203" l="1"/>
  <c r="K93" i="203"/>
  <c r="L93" i="203"/>
  <c r="L94" i="203" l="1"/>
  <c r="M93" i="203"/>
  <c r="K94" i="203"/>
  <c r="M94" i="203" l="1"/>
  <c r="K95" i="203"/>
  <c r="L95" i="203"/>
  <c r="M95" i="203" l="1"/>
  <c r="L96" i="203"/>
  <c r="K96" i="203"/>
  <c r="K97" i="203" l="1"/>
  <c r="M96" i="203"/>
  <c r="L97" i="203"/>
  <c r="M97" i="203" l="1"/>
  <c r="K98" i="203"/>
  <c r="L98" i="203"/>
  <c r="L99" i="203" l="1"/>
  <c r="M98" i="203"/>
  <c r="K99" i="203"/>
  <c r="K100" i="203" l="1"/>
  <c r="M99" i="203"/>
  <c r="L100" i="203"/>
  <c r="M100" i="203" l="1"/>
  <c r="K101" i="203"/>
  <c r="L101" i="203"/>
  <c r="K102" i="203" l="1"/>
  <c r="M101" i="203"/>
  <c r="L102" i="203"/>
  <c r="M102" i="203" l="1"/>
  <c r="K103" i="203"/>
  <c r="L103" i="203"/>
  <c r="K104" i="203" l="1"/>
  <c r="M103" i="203"/>
  <c r="L104" i="203"/>
  <c r="M104" i="203" l="1"/>
  <c r="L105" i="203"/>
  <c r="K105" i="203"/>
  <c r="K106" i="203" l="1"/>
  <c r="L106" i="203"/>
  <c r="M105" i="203"/>
  <c r="K107" i="203" l="1"/>
  <c r="M106" i="203"/>
  <c r="L107" i="203"/>
  <c r="L108" i="203" l="1"/>
  <c r="K108" i="203"/>
  <c r="M107" i="203"/>
  <c r="L109" i="203" l="1"/>
  <c r="M108" i="203"/>
  <c r="K109" i="203"/>
  <c r="L110" i="203" l="1"/>
  <c r="K110" i="203"/>
  <c r="M109" i="203"/>
  <c r="K111" i="203" l="1"/>
  <c r="L111" i="203"/>
  <c r="M110" i="203"/>
  <c r="L112" i="203" l="1"/>
  <c r="M111" i="203"/>
  <c r="K112" i="203"/>
  <c r="M112" i="203" l="1"/>
  <c r="L113" i="203"/>
  <c r="K113" i="203"/>
  <c r="K114" i="203" l="1"/>
  <c r="M113" i="203"/>
  <c r="L114" i="203"/>
  <c r="M114" i="203" l="1"/>
  <c r="L115" i="203"/>
  <c r="K115" i="203"/>
  <c r="M115" i="203" l="1"/>
  <c r="L116" i="203"/>
  <c r="K116" i="203"/>
  <c r="M116" i="203" l="1"/>
  <c r="L117" i="203"/>
  <c r="K117" i="203"/>
  <c r="M117" i="203" l="1"/>
  <c r="K118" i="203"/>
  <c r="L118" i="203"/>
  <c r="M118" i="203" l="1"/>
  <c r="K119" i="203"/>
  <c r="L119" i="203"/>
  <c r="M119" i="203" l="1"/>
  <c r="K120" i="203"/>
  <c r="L120" i="203"/>
  <c r="M120" i="203" l="1"/>
  <c r="L121" i="203"/>
  <c r="K121" i="203"/>
  <c r="L122" i="203" l="1"/>
  <c r="K122" i="203"/>
  <c r="M121" i="203"/>
  <c r="K123" i="203" l="1"/>
  <c r="M122" i="203"/>
  <c r="L123" i="203"/>
  <c r="K124" i="203" l="1"/>
  <c r="M123" i="203"/>
  <c r="L124" i="203"/>
  <c r="M124" i="203" l="1"/>
  <c r="K125" i="203"/>
  <c r="L125" i="203"/>
  <c r="K126" i="203" l="1"/>
  <c r="L126" i="203"/>
  <c r="M125" i="203"/>
  <c r="M126" i="203" l="1"/>
  <c r="K127" i="203"/>
  <c r="L127" i="203"/>
  <c r="K128" i="203" l="1"/>
  <c r="L128" i="203"/>
  <c r="M127" i="203"/>
  <c r="K129" i="203" l="1"/>
  <c r="M128" i="203"/>
  <c r="L129" i="203"/>
  <c r="K130" i="203" l="1"/>
  <c r="L130" i="203"/>
  <c r="M129" i="203"/>
  <c r="M130" i="203" l="1"/>
  <c r="K131" i="203"/>
  <c r="L131" i="203"/>
  <c r="K132" i="203" l="1"/>
  <c r="M131" i="203"/>
  <c r="L132" i="203"/>
  <c r="M132" i="203" l="1"/>
  <c r="K133" i="203"/>
  <c r="L133" i="203"/>
  <c r="M133" i="203" l="1"/>
  <c r="K134" i="203"/>
  <c r="L134" i="203"/>
  <c r="L135" i="203" l="1"/>
  <c r="M134" i="203"/>
  <c r="K135" i="203"/>
  <c r="M135" i="203" l="1"/>
  <c r="L136" i="203"/>
  <c r="K136" i="203"/>
  <c r="L137" i="203" l="1"/>
  <c r="M136" i="203"/>
  <c r="K137" i="203"/>
  <c r="K138" i="203" l="1"/>
  <c r="L138" i="203"/>
  <c r="M137" i="203"/>
  <c r="M138" i="203" l="1"/>
  <c r="K139" i="203"/>
  <c r="L139" i="203"/>
  <c r="L140" i="203" l="1"/>
  <c r="M139" i="203"/>
  <c r="K140" i="203"/>
  <c r="M140" i="203" l="1"/>
  <c r="K141" i="203"/>
  <c r="L141" i="203"/>
  <c r="L142" i="203" l="1"/>
  <c r="M141" i="203"/>
  <c r="K142" i="203"/>
  <c r="K143" i="203" l="1"/>
  <c r="M142" i="203"/>
  <c r="L143" i="203"/>
  <c r="M143" i="203" l="1"/>
  <c r="L144" i="203"/>
  <c r="K144" i="203"/>
  <c r="L145" i="203" l="1"/>
  <c r="K145" i="203"/>
  <c r="M144" i="203"/>
  <c r="M145" i="203" l="1"/>
  <c r="L146" i="203"/>
  <c r="K146" i="203"/>
  <c r="M146" i="203" l="1"/>
  <c r="K147" i="203"/>
  <c r="L147" i="203"/>
  <c r="K148" i="203" l="1"/>
  <c r="M147" i="203"/>
  <c r="L148" i="203"/>
  <c r="K149" i="203" l="1"/>
  <c r="L149" i="203"/>
  <c r="M148" i="203"/>
  <c r="M149" i="203" l="1"/>
  <c r="L150" i="203"/>
  <c r="K150" i="203"/>
  <c r="K151" i="203" l="1"/>
  <c r="M150" i="203"/>
  <c r="L151" i="203"/>
  <c r="M151" i="203" l="1"/>
  <c r="L152" i="203"/>
  <c r="K152" i="203"/>
  <c r="M152" i="203" l="1"/>
  <c r="K153" i="203"/>
  <c r="L153" i="203"/>
  <c r="L154" i="203" l="1"/>
  <c r="M153" i="203"/>
  <c r="K154" i="203"/>
  <c r="M154" i="203" l="1"/>
  <c r="K155" i="203"/>
  <c r="L155" i="203"/>
  <c r="M155" i="203" l="1"/>
  <c r="L156" i="203"/>
  <c r="K156" i="203"/>
  <c r="M156" i="203" l="1"/>
  <c r="K157" i="203"/>
  <c r="L157" i="203"/>
  <c r="M157" i="203" l="1"/>
  <c r="K158" i="203"/>
  <c r="L158" i="203"/>
  <c r="L159" i="203" l="1"/>
  <c r="K159" i="203"/>
  <c r="M158" i="203"/>
  <c r="K160" i="203" l="1"/>
  <c r="L160" i="203"/>
  <c r="M159" i="203"/>
  <c r="M160" i="203" l="1"/>
  <c r="K161" i="203"/>
  <c r="L161" i="203"/>
  <c r="K162" i="203" l="1"/>
  <c r="M161" i="203"/>
  <c r="L162" i="203"/>
  <c r="K163" i="203" l="1"/>
  <c r="L163" i="203"/>
  <c r="M162" i="203"/>
  <c r="K164" i="203" l="1"/>
  <c r="L164" i="203"/>
  <c r="M163" i="203"/>
  <c r="K165" i="203" l="1"/>
  <c r="M165" i="203" s="1"/>
  <c r="L165" i="203"/>
  <c r="M164" i="203"/>
</calcChain>
</file>

<file path=xl/sharedStrings.xml><?xml version="1.0" encoding="utf-8"?>
<sst xmlns="http://schemas.openxmlformats.org/spreadsheetml/2006/main" count="95" uniqueCount="77">
  <si>
    <t>Pivot length (radius)</t>
  </si>
  <si>
    <t>m</t>
  </si>
  <si>
    <t>Sprinkler distance</t>
  </si>
  <si>
    <t>Fraction evap</t>
  </si>
  <si>
    <t>Pivot area</t>
  </si>
  <si>
    <t>ha</t>
  </si>
  <si>
    <t>Wetted diameter</t>
  </si>
  <si>
    <t>Net app / day</t>
  </si>
  <si>
    <t>mm/day</t>
  </si>
  <si>
    <t>Hours per day operation</t>
  </si>
  <si>
    <t>hr</t>
  </si>
  <si>
    <t>Rotation rate</t>
  </si>
  <si>
    <t>hrs rotation</t>
  </si>
  <si>
    <t>net depth/pass</t>
  </si>
  <si>
    <t>mm/pass</t>
  </si>
  <si>
    <t>Gross application req</t>
  </si>
  <si>
    <t>Sprinkler app time</t>
  </si>
  <si>
    <t>minutes</t>
  </si>
  <si>
    <t>Max appl. rate</t>
  </si>
  <si>
    <t>mm/min</t>
  </si>
  <si>
    <t>Pivot flow rate</t>
  </si>
  <si>
    <t>L/sec</t>
  </si>
  <si>
    <t>Sprinkler spacing</t>
  </si>
  <si>
    <t xml:space="preserve">Sprinkler flow </t>
  </si>
  <si>
    <t>Normal gross app 24 hr</t>
  </si>
  <si>
    <t>Infiltration curves</t>
  </si>
  <si>
    <t>Actual infiltration and runoff</t>
  </si>
  <si>
    <t>cm/hr</t>
  </si>
  <si>
    <t>mm</t>
  </si>
  <si>
    <t>Total (mm)</t>
  </si>
  <si>
    <t>Sum (mm)</t>
  </si>
  <si>
    <t>Surface storage</t>
  </si>
  <si>
    <t>Number steps</t>
  </si>
  <si>
    <t>Sprinkler application curves</t>
  </si>
  <si>
    <t>Family</t>
  </si>
  <si>
    <t>Intake family for infiltration functions (write intake family number in cell B7)</t>
  </si>
  <si>
    <t>a</t>
  </si>
  <si>
    <t>Infilt</t>
  </si>
  <si>
    <t xml:space="preserve"> Runoff</t>
  </si>
  <si>
    <t>Infiltration</t>
  </si>
  <si>
    <t xml:space="preserve">Step </t>
  </si>
  <si>
    <t>Intake family</t>
  </si>
  <si>
    <t>Put intake family to left</t>
  </si>
  <si>
    <t>fraction</t>
  </si>
  <si>
    <t>t (min)</t>
  </si>
  <si>
    <t>di/dt (mm/min)</t>
  </si>
  <si>
    <t>Infilt (mm)</t>
  </si>
  <si>
    <t>di/dt (cm/hr)</t>
  </si>
  <si>
    <t>b</t>
  </si>
  <si>
    <t>number</t>
  </si>
  <si>
    <t>NRCS_a</t>
  </si>
  <si>
    <t>a and b are automatically</t>
  </si>
  <si>
    <t>NRCS_b</t>
  </si>
  <si>
    <t>updated</t>
  </si>
  <si>
    <t>Include the initial depth</t>
  </si>
  <si>
    <t>This is the 0.6985 mm infilt</t>
  </si>
  <si>
    <t>Runoff</t>
  </si>
  <si>
    <t>Infiltration + storage</t>
  </si>
  <si>
    <t>Sprinkler application</t>
  </si>
  <si>
    <t>Intake families</t>
  </si>
  <si>
    <t xml:space="preserve">a (cm/hr) </t>
  </si>
  <si>
    <t>Distance</t>
  </si>
  <si>
    <t>Elevation</t>
  </si>
  <si>
    <t>Sprink #</t>
  </si>
  <si>
    <t>Diam mm</t>
  </si>
  <si>
    <t>Initial pressure (m)</t>
  </si>
  <si>
    <t>Total radius (m)</t>
  </si>
  <si>
    <t>Spr. LPS</t>
  </si>
  <si>
    <t>Inc dist.</t>
  </si>
  <si>
    <t>Total pivot flow (L/s)</t>
  </si>
  <si>
    <t>Sprinkler Diameter (mm)</t>
  </si>
  <si>
    <t>C (gal. steel)</t>
  </si>
  <si>
    <t>Spr. L/m</t>
  </si>
  <si>
    <t>Pipe L/s</t>
  </si>
  <si>
    <t>Pipe pressure loss (m)</t>
  </si>
  <si>
    <t>Pipe pressure (m)</t>
  </si>
  <si>
    <t>Pipe pressure - Elevation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</si>
</sst>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_-* #,##0.00_-;_-* #,##0.00\-;_-* &quot;-&quot;??_-;_-@_-"/>
    <numFmt numFmtId="168" formatCode="General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1"/>
      <color theme="1"/>
      <name val="Calibri"/>
      <family val="2"/>
      <charset val="129"/>
      <scheme val="minor"/>
    </font>
    <font>
      <sz val="10"/>
      <name val="Courier"/>
      <family val="3"/>
    </font>
    <font>
      <b/>
      <sz val="10"/>
      <name val="Arial"/>
      <family val="2"/>
    </font>
    <font>
      <b/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2">
    <xf numFmtId="0" fontId="0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5" fontId="3" fillId="0" borderId="0" applyFont="0" applyFill="0" applyBorder="0" applyAlignment="0" applyProtection="0"/>
    <xf numFmtId="14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8" fontId="7" fillId="0" borderId="0" applyProtection="0"/>
    <xf numFmtId="0" fontId="1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0" fontId="3" fillId="0" borderId="0"/>
    <xf numFmtId="0" fontId="6" fillId="0" borderId="0"/>
    <xf numFmtId="0" fontId="6" fillId="0" borderId="0"/>
    <xf numFmtId="0" fontId="6" fillId="0" borderId="0"/>
  </cellStyleXfs>
  <cellXfs count="122">
    <xf numFmtId="0" fontId="0" fillId="0" borderId="0" xfId="0"/>
    <xf numFmtId="0" fontId="3" fillId="2" borderId="1" xfId="1" applyFill="1" applyBorder="1"/>
    <xf numFmtId="0" fontId="3" fillId="3" borderId="1" xfId="1" applyFill="1" applyBorder="1"/>
    <xf numFmtId="0" fontId="3" fillId="2" borderId="2" xfId="1" applyFill="1" applyBorder="1"/>
    <xf numFmtId="0" fontId="3" fillId="0" borderId="3" xfId="1" applyBorder="1"/>
    <xf numFmtId="0" fontId="3" fillId="2" borderId="4" xfId="1" applyFill="1" applyBorder="1"/>
    <xf numFmtId="0" fontId="3" fillId="0" borderId="5" xfId="1" applyBorder="1"/>
    <xf numFmtId="0" fontId="3" fillId="4" borderId="0" xfId="1" applyFill="1"/>
    <xf numFmtId="0" fontId="3" fillId="4" borderId="0" xfId="1" applyFill="1" applyAlignment="1">
      <alignment horizontal="center"/>
    </xf>
    <xf numFmtId="0" fontId="3" fillId="0" borderId="0" xfId="1"/>
    <xf numFmtId="0" fontId="3" fillId="2" borderId="6" xfId="1" applyFill="1" applyBorder="1"/>
    <xf numFmtId="164" fontId="3" fillId="5" borderId="6" xfId="1" applyNumberFormat="1" applyFill="1" applyBorder="1"/>
    <xf numFmtId="0" fontId="3" fillId="2" borderId="7" xfId="1" applyFill="1" applyBorder="1"/>
    <xf numFmtId="0" fontId="3" fillId="0" borderId="8" xfId="1" applyBorder="1"/>
    <xf numFmtId="2" fontId="3" fillId="5" borderId="9" xfId="1" applyNumberFormat="1" applyFill="1" applyBorder="1"/>
    <xf numFmtId="0" fontId="3" fillId="3" borderId="6" xfId="1" applyFill="1" applyBorder="1"/>
    <xf numFmtId="2" fontId="3" fillId="5" borderId="0" xfId="1" applyNumberFormat="1" applyFill="1"/>
    <xf numFmtId="0" fontId="3" fillId="3" borderId="10" xfId="1" applyFill="1" applyBorder="1"/>
    <xf numFmtId="2" fontId="3" fillId="5" borderId="1" xfId="1" applyNumberFormat="1" applyFill="1" applyBorder="1"/>
    <xf numFmtId="0" fontId="3" fillId="2" borderId="11" xfId="1" applyFill="1" applyBorder="1"/>
    <xf numFmtId="0" fontId="3" fillId="2" borderId="10" xfId="1" applyFill="1" applyBorder="1"/>
    <xf numFmtId="2" fontId="3" fillId="5" borderId="12" xfId="1" applyNumberFormat="1" applyFill="1" applyBorder="1"/>
    <xf numFmtId="164" fontId="3" fillId="5" borderId="4" xfId="1" applyNumberFormat="1" applyFill="1" applyBorder="1"/>
    <xf numFmtId="0" fontId="3" fillId="2" borderId="13" xfId="1" applyFill="1" applyBorder="1"/>
    <xf numFmtId="0" fontId="3" fillId="0" borderId="4" xfId="1" applyBorder="1"/>
    <xf numFmtId="165" fontId="3" fillId="5" borderId="4" xfId="1" applyNumberFormat="1" applyFill="1" applyBorder="1"/>
    <xf numFmtId="0" fontId="3" fillId="2" borderId="14" xfId="1" applyFill="1" applyBorder="1" applyAlignment="1">
      <alignment horizontal="left"/>
    </xf>
    <xf numFmtId="0" fontId="3" fillId="2" borderId="15" xfId="1" applyFill="1" applyBorder="1" applyAlignment="1">
      <alignment horizontal="center"/>
    </xf>
    <xf numFmtId="0" fontId="3" fillId="2" borderId="15" xfId="1" applyFill="1" applyBorder="1" applyAlignment="1">
      <alignment horizontal="left"/>
    </xf>
    <xf numFmtId="0" fontId="3" fillId="2" borderId="15" xfId="1" applyFill="1" applyBorder="1"/>
    <xf numFmtId="1" fontId="3" fillId="6" borderId="1" xfId="1" applyNumberFormat="1" applyFill="1" applyBorder="1"/>
    <xf numFmtId="0" fontId="3" fillId="2" borderId="12" xfId="1" applyFill="1" applyBorder="1"/>
    <xf numFmtId="0" fontId="3" fillId="2" borderId="8" xfId="1" applyFill="1" applyBorder="1"/>
    <xf numFmtId="0" fontId="3" fillId="2" borderId="8" xfId="1" applyFill="1" applyBorder="1" applyAlignment="1">
      <alignment horizontal="center"/>
    </xf>
    <xf numFmtId="0" fontId="3" fillId="2" borderId="0" xfId="1" applyFill="1" applyAlignment="1">
      <alignment horizontal="center"/>
    </xf>
    <xf numFmtId="1" fontId="3" fillId="6" borderId="4" xfId="1" applyNumberFormat="1" applyFill="1" applyBorder="1" applyAlignment="1">
      <alignment horizontal="center"/>
    </xf>
    <xf numFmtId="0" fontId="3" fillId="3" borderId="1" xfId="1" applyFill="1" applyBorder="1" applyAlignment="1">
      <alignment horizontal="center"/>
    </xf>
    <xf numFmtId="0" fontId="3" fillId="6" borderId="1" xfId="1" applyFill="1" applyBorder="1" applyAlignment="1">
      <alignment horizontal="center"/>
    </xf>
    <xf numFmtId="0" fontId="4" fillId="3" borderId="4" xfId="1" applyFont="1" applyFill="1" applyBorder="1" applyAlignment="1">
      <alignment horizontal="center" vertical="top" wrapText="1"/>
    </xf>
    <xf numFmtId="0" fontId="4" fillId="3" borderId="15" xfId="1" applyFont="1" applyFill="1" applyBorder="1" applyAlignment="1">
      <alignment horizontal="center" vertical="top" wrapText="1"/>
    </xf>
    <xf numFmtId="0" fontId="4" fillId="3" borderId="5" xfId="1" applyFont="1" applyFill="1" applyBorder="1" applyAlignment="1">
      <alignment horizontal="center" vertical="top" wrapText="1"/>
    </xf>
    <xf numFmtId="2" fontId="3" fillId="5" borderId="5" xfId="1" applyNumberFormat="1" applyFill="1" applyBorder="1" applyAlignment="1">
      <alignment horizontal="center"/>
    </xf>
    <xf numFmtId="2" fontId="3" fillId="5" borderId="15" xfId="1" applyNumberFormat="1" applyFill="1" applyBorder="1" applyAlignment="1">
      <alignment horizontal="center"/>
    </xf>
    <xf numFmtId="165" fontId="3" fillId="5" borderId="10" xfId="1" applyNumberFormat="1" applyFill="1" applyBorder="1" applyAlignment="1">
      <alignment horizontal="center"/>
    </xf>
    <xf numFmtId="0" fontId="3" fillId="7" borderId="14" xfId="1" applyFill="1" applyBorder="1"/>
    <xf numFmtId="0" fontId="3" fillId="7" borderId="15" xfId="1" applyFill="1" applyBorder="1" applyAlignment="1">
      <alignment horizontal="center"/>
    </xf>
    <xf numFmtId="0" fontId="3" fillId="7" borderId="5" xfId="1" applyFill="1" applyBorder="1"/>
    <xf numFmtId="0" fontId="3" fillId="0" borderId="4" xfId="1" applyBorder="1" applyAlignment="1">
      <alignment horizontal="center"/>
    </xf>
    <xf numFmtId="0" fontId="3" fillId="2" borderId="0" xfId="1" applyFill="1"/>
    <xf numFmtId="0" fontId="3" fillId="2" borderId="1" xfId="1" applyFill="1" applyBorder="1" applyAlignment="1">
      <alignment horizontal="right"/>
    </xf>
    <xf numFmtId="165" fontId="2" fillId="5" borderId="16" xfId="1" applyNumberFormat="1" applyFont="1" applyFill="1" applyBorder="1" applyAlignment="1">
      <alignment horizontal="center" vertical="center" wrapText="1"/>
    </xf>
    <xf numFmtId="1" fontId="2" fillId="5" borderId="17" xfId="1" applyNumberFormat="1" applyFont="1" applyFill="1" applyBorder="1" applyAlignment="1">
      <alignment horizontal="center" vertical="center" wrapText="1"/>
    </xf>
    <xf numFmtId="165" fontId="2" fillId="5" borderId="8" xfId="1" applyNumberFormat="1" applyFont="1" applyFill="1" applyBorder="1" applyAlignment="1">
      <alignment horizontal="center" vertical="center" wrapText="1"/>
    </xf>
    <xf numFmtId="0" fontId="3" fillId="2" borderId="3" xfId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3" fillId="2" borderId="6" xfId="1" applyNumberFormat="1" applyFill="1" applyBorder="1" applyAlignment="1">
      <alignment horizontal="center"/>
    </xf>
    <xf numFmtId="0" fontId="3" fillId="0" borderId="1" xfId="1" applyBorder="1"/>
    <xf numFmtId="0" fontId="3" fillId="3" borderId="16" xfId="1" applyFill="1" applyBorder="1" applyAlignment="1">
      <alignment horizontal="center"/>
    </xf>
    <xf numFmtId="0" fontId="3" fillId="2" borderId="18" xfId="1" applyFill="1" applyBorder="1" applyAlignment="1">
      <alignment horizontal="center"/>
    </xf>
    <xf numFmtId="0" fontId="3" fillId="2" borderId="19" xfId="1" applyFill="1" applyBorder="1" applyAlignment="1">
      <alignment horizontal="center"/>
    </xf>
    <xf numFmtId="0" fontId="3" fillId="2" borderId="20" xfId="1" applyFill="1" applyBorder="1" applyAlignment="1">
      <alignment horizontal="center"/>
    </xf>
    <xf numFmtId="0" fontId="3" fillId="2" borderId="21" xfId="1" applyFill="1" applyBorder="1" applyAlignment="1">
      <alignment horizontal="center"/>
    </xf>
    <xf numFmtId="0" fontId="4" fillId="2" borderId="8" xfId="1" applyFont="1" applyFill="1" applyBorder="1" applyAlignment="1">
      <alignment horizontal="right" vertical="top" wrapText="1"/>
    </xf>
    <xf numFmtId="165" fontId="2" fillId="5" borderId="22" xfId="1" applyNumberFormat="1" applyFont="1" applyFill="1" applyBorder="1" applyAlignment="1">
      <alignment horizontal="center" vertical="center" wrapText="1"/>
    </xf>
    <xf numFmtId="165" fontId="2" fillId="5" borderId="23" xfId="1" applyNumberFormat="1" applyFont="1" applyFill="1" applyBorder="1" applyAlignment="1">
      <alignment horizontal="center" vertical="center" wrapText="1"/>
    </xf>
    <xf numFmtId="0" fontId="3" fillId="2" borderId="6" xfId="1" applyFill="1" applyBorder="1" applyAlignment="1">
      <alignment horizontal="center"/>
    </xf>
    <xf numFmtId="0" fontId="3" fillId="0" borderId="6" xfId="1" applyBorder="1"/>
    <xf numFmtId="166" fontId="2" fillId="5" borderId="24" xfId="1" applyNumberFormat="1" applyFont="1" applyFill="1" applyBorder="1" applyAlignment="1">
      <alignment horizontal="center" vertical="center" wrapText="1"/>
    </xf>
    <xf numFmtId="0" fontId="5" fillId="2" borderId="2" xfId="1" applyFont="1" applyFill="1" applyBorder="1" applyAlignment="1">
      <alignment horizontal="right"/>
    </xf>
    <xf numFmtId="0" fontId="3" fillId="5" borderId="2" xfId="1" applyFill="1" applyBorder="1"/>
    <xf numFmtId="165" fontId="3" fillId="5" borderId="9" xfId="1" applyNumberFormat="1" applyFill="1" applyBorder="1"/>
    <xf numFmtId="165" fontId="3" fillId="5" borderId="3" xfId="1" applyNumberFormat="1" applyFill="1" applyBorder="1"/>
    <xf numFmtId="0" fontId="3" fillId="8" borderId="0" xfId="1" applyFill="1"/>
    <xf numFmtId="165" fontId="3" fillId="5" borderId="2" xfId="1" applyNumberFormat="1" applyFill="1" applyBorder="1" applyAlignment="1">
      <alignment horizontal="center"/>
    </xf>
    <xf numFmtId="165" fontId="3" fillId="5" borderId="9" xfId="1" applyNumberFormat="1" applyFill="1" applyBorder="1" applyAlignment="1">
      <alignment horizontal="center"/>
    </xf>
    <xf numFmtId="165" fontId="3" fillId="5" borderId="3" xfId="1" applyNumberFormat="1" applyFill="1" applyBorder="1" applyAlignment="1">
      <alignment horizontal="center"/>
    </xf>
    <xf numFmtId="1" fontId="3" fillId="3" borderId="1" xfId="1" applyNumberFormat="1" applyFill="1" applyBorder="1" applyAlignment="1">
      <alignment horizontal="center"/>
    </xf>
    <xf numFmtId="0" fontId="5" fillId="2" borderId="13" xfId="1" applyFont="1" applyFill="1" applyBorder="1" applyAlignment="1">
      <alignment horizontal="right"/>
    </xf>
    <xf numFmtId="0" fontId="3" fillId="3" borderId="6" xfId="1" applyFill="1" applyBorder="1" applyAlignment="1">
      <alignment horizontal="center"/>
    </xf>
    <xf numFmtId="0" fontId="3" fillId="5" borderId="7" xfId="1" applyFill="1" applyBorder="1"/>
    <xf numFmtId="165" fontId="3" fillId="5" borderId="0" xfId="1" applyNumberFormat="1" applyFill="1"/>
    <xf numFmtId="165" fontId="3" fillId="5" borderId="8" xfId="1" applyNumberFormat="1" applyFill="1" applyBorder="1"/>
    <xf numFmtId="165" fontId="3" fillId="5" borderId="7" xfId="1" applyNumberFormat="1" applyFill="1" applyBorder="1" applyAlignment="1">
      <alignment horizontal="center"/>
    </xf>
    <xf numFmtId="165" fontId="3" fillId="5" borderId="0" xfId="1" applyNumberFormat="1" applyFill="1" applyAlignment="1">
      <alignment horizontal="center"/>
    </xf>
    <xf numFmtId="165" fontId="3" fillId="5" borderId="8" xfId="1" applyNumberFormat="1" applyFill="1" applyBorder="1" applyAlignment="1">
      <alignment horizontal="center"/>
    </xf>
    <xf numFmtId="1" fontId="3" fillId="3" borderId="6" xfId="1" applyNumberFormat="1" applyFill="1" applyBorder="1" applyAlignment="1">
      <alignment horizontal="center"/>
    </xf>
    <xf numFmtId="0" fontId="3" fillId="0" borderId="1" xfId="1" applyBorder="1" applyAlignment="1">
      <alignment horizontal="center"/>
    </xf>
    <xf numFmtId="2" fontId="3" fillId="5" borderId="25" xfId="1" applyNumberFormat="1" applyFill="1" applyBorder="1" applyAlignment="1">
      <alignment horizontal="center"/>
    </xf>
    <xf numFmtId="2" fontId="3" fillId="5" borderId="24" xfId="1" applyNumberFormat="1" applyFill="1" applyBorder="1" applyAlignment="1">
      <alignment horizontal="center"/>
    </xf>
    <xf numFmtId="0" fontId="3" fillId="0" borderId="10" xfId="1" applyBorder="1"/>
    <xf numFmtId="2" fontId="3" fillId="5" borderId="26" xfId="1" applyNumberFormat="1" applyFill="1" applyBorder="1" applyAlignment="1">
      <alignment horizontal="center"/>
    </xf>
    <xf numFmtId="166" fontId="3" fillId="8" borderId="0" xfId="1" applyNumberFormat="1" applyFill="1"/>
    <xf numFmtId="0" fontId="3" fillId="2" borderId="14" xfId="2" applyFill="1" applyBorder="1" applyAlignment="1">
      <alignment horizontal="center"/>
    </xf>
    <xf numFmtId="0" fontId="3" fillId="2" borderId="15" xfId="2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 wrapText="1"/>
    </xf>
    <xf numFmtId="0" fontId="2" fillId="9" borderId="27" xfId="1" applyFont="1" applyFill="1" applyBorder="1" applyAlignment="1">
      <alignment horizontal="center" vertical="center" wrapText="1"/>
    </xf>
    <xf numFmtId="0" fontId="2" fillId="9" borderId="28" xfId="1" applyFont="1" applyFill="1" applyBorder="1" applyAlignment="1">
      <alignment horizontal="center" vertical="center" wrapText="1"/>
    </xf>
    <xf numFmtId="0" fontId="2" fillId="2" borderId="7" xfId="1" applyFont="1" applyFill="1" applyBorder="1" applyAlignment="1">
      <alignment horizontal="center" vertical="center" wrapText="1"/>
    </xf>
    <xf numFmtId="0" fontId="2" fillId="9" borderId="29" xfId="1" applyFont="1" applyFill="1" applyBorder="1" applyAlignment="1">
      <alignment horizontal="center" vertical="center" wrapText="1"/>
    </xf>
    <xf numFmtId="0" fontId="2" fillId="9" borderId="30" xfId="1" applyFont="1" applyFill="1" applyBorder="1" applyAlignment="1">
      <alignment horizontal="center" vertical="center" wrapText="1"/>
    </xf>
    <xf numFmtId="0" fontId="2" fillId="2" borderId="13" xfId="1" applyFont="1" applyFill="1" applyBorder="1" applyAlignment="1">
      <alignment horizontal="center" vertical="center" wrapText="1"/>
    </xf>
    <xf numFmtId="0" fontId="2" fillId="9" borderId="31" xfId="1" applyFont="1" applyFill="1" applyBorder="1" applyAlignment="1">
      <alignment horizontal="center" vertical="center" wrapText="1"/>
    </xf>
    <xf numFmtId="0" fontId="2" fillId="9" borderId="32" xfId="1" applyFont="1" applyFill="1" applyBorder="1" applyAlignment="1">
      <alignment horizontal="center" vertical="center" wrapText="1"/>
    </xf>
    <xf numFmtId="0" fontId="3" fillId="3" borderId="10" xfId="1" applyFill="1" applyBorder="1" applyAlignment="1">
      <alignment horizontal="center"/>
    </xf>
    <xf numFmtId="0" fontId="3" fillId="5" borderId="13" xfId="1" applyFill="1" applyBorder="1"/>
    <xf numFmtId="165" fontId="3" fillId="5" borderId="12" xfId="1" applyNumberFormat="1" applyFill="1" applyBorder="1"/>
    <xf numFmtId="165" fontId="3" fillId="5" borderId="11" xfId="1" applyNumberFormat="1" applyFill="1" applyBorder="1"/>
    <xf numFmtId="165" fontId="3" fillId="5" borderId="13" xfId="1" applyNumberFormat="1" applyFill="1" applyBorder="1" applyAlignment="1">
      <alignment horizontal="center"/>
    </xf>
    <xf numFmtId="165" fontId="3" fillId="5" borderId="12" xfId="1" applyNumberFormat="1" applyFill="1" applyBorder="1" applyAlignment="1">
      <alignment horizontal="center"/>
    </xf>
    <xf numFmtId="165" fontId="3" fillId="5" borderId="11" xfId="1" applyNumberFormat="1" applyFill="1" applyBorder="1" applyAlignment="1">
      <alignment horizontal="center"/>
    </xf>
    <xf numFmtId="1" fontId="3" fillId="3" borderId="10" xfId="1" applyNumberFormat="1" applyFill="1" applyBorder="1" applyAlignment="1">
      <alignment horizontal="center"/>
    </xf>
    <xf numFmtId="0" fontId="3" fillId="0" borderId="0" xfId="1" applyAlignment="1">
      <alignment horizontal="center"/>
    </xf>
    <xf numFmtId="0" fontId="4" fillId="2" borderId="6" xfId="1" applyFont="1" applyFill="1" applyBorder="1" applyAlignment="1">
      <alignment horizontal="center" vertical="top" wrapText="1"/>
    </xf>
    <xf numFmtId="0" fontId="4" fillId="2" borderId="10" xfId="1" applyFont="1" applyFill="1" applyBorder="1" applyAlignment="1">
      <alignment horizontal="center" vertical="top" wrapText="1"/>
    </xf>
    <xf numFmtId="0" fontId="3" fillId="0" borderId="0" xfId="22"/>
    <xf numFmtId="49" fontId="3" fillId="0" borderId="0" xfId="22" applyNumberFormat="1"/>
    <xf numFmtId="0" fontId="3" fillId="0" borderId="0" xfId="22" applyAlignment="1">
      <alignment horizontal="center"/>
    </xf>
    <xf numFmtId="49" fontId="8" fillId="0" borderId="0" xfId="22" applyNumberFormat="1" applyFont="1" applyAlignment="1">
      <alignment horizontal="center"/>
    </xf>
    <xf numFmtId="0" fontId="8" fillId="0" borderId="0" xfId="22" applyFont="1" applyAlignment="1">
      <alignment horizontal="center"/>
    </xf>
    <xf numFmtId="0" fontId="3" fillId="5" borderId="0" xfId="22" applyFill="1" applyAlignment="1">
      <alignment horizontal="center"/>
    </xf>
    <xf numFmtId="0" fontId="9" fillId="0" borderId="0" xfId="22" applyFont="1"/>
    <xf numFmtId="0" fontId="8" fillId="0" borderId="0" xfId="22" applyFont="1"/>
  </cellXfs>
  <cellStyles count="52">
    <cellStyle name="Comma 2" xfId="3" xr:uid="{00000000-0005-0000-0000-000000000000}"/>
    <cellStyle name="Comma 3" xfId="4" xr:uid="{00000000-0005-0000-0000-000001000000}"/>
    <cellStyle name="Comma0" xfId="5" xr:uid="{00000000-0005-0000-0000-000002000000}"/>
    <cellStyle name="Currency 2" xfId="6" xr:uid="{00000000-0005-0000-0000-000003000000}"/>
    <cellStyle name="Currency0" xfId="7" xr:uid="{00000000-0005-0000-0000-000004000000}"/>
    <cellStyle name="Date" xfId="8" xr:uid="{00000000-0005-0000-0000-000005000000}"/>
    <cellStyle name="Fixed" xfId="9" xr:uid="{00000000-0005-0000-0000-000006000000}"/>
    <cellStyle name="Normal" xfId="0" builtinId="0"/>
    <cellStyle name="Normal 13" xfId="10" xr:uid="{00000000-0005-0000-0000-000008000000}"/>
    <cellStyle name="Normal 13 2" xfId="11" xr:uid="{00000000-0005-0000-0000-000009000000}"/>
    <cellStyle name="Normal 13 2 2" xfId="12" xr:uid="{00000000-0005-0000-0000-00000A000000}"/>
    <cellStyle name="Normal 13 3" xfId="13" xr:uid="{00000000-0005-0000-0000-00000B000000}"/>
    <cellStyle name="Normal 14" xfId="14" xr:uid="{00000000-0005-0000-0000-00000C000000}"/>
    <cellStyle name="Normal 14 2" xfId="15" xr:uid="{00000000-0005-0000-0000-00000D000000}"/>
    <cellStyle name="Normal 14 2 2" xfId="16" xr:uid="{00000000-0005-0000-0000-00000E000000}"/>
    <cellStyle name="Normal 14 3" xfId="17" xr:uid="{00000000-0005-0000-0000-00000F000000}"/>
    <cellStyle name="Normal 19" xfId="18" xr:uid="{00000000-0005-0000-0000-000010000000}"/>
    <cellStyle name="Normal 19 2" xfId="19" xr:uid="{00000000-0005-0000-0000-000011000000}"/>
    <cellStyle name="Normal 19 2 2" xfId="20" xr:uid="{00000000-0005-0000-0000-000012000000}"/>
    <cellStyle name="Normal 19 3" xfId="21" xr:uid="{00000000-0005-0000-0000-000013000000}"/>
    <cellStyle name="Normal 2" xfId="22" xr:uid="{00000000-0005-0000-0000-000014000000}"/>
    <cellStyle name="Normal 2 2" xfId="1" xr:uid="{00000000-0005-0000-0000-000015000000}"/>
    <cellStyle name="Normal 2 3" xfId="23" xr:uid="{00000000-0005-0000-0000-000016000000}"/>
    <cellStyle name="Normal 3" xfId="2" xr:uid="{00000000-0005-0000-0000-000017000000}"/>
    <cellStyle name="Normal 4" xfId="24" xr:uid="{00000000-0005-0000-0000-000018000000}"/>
    <cellStyle name="Normal 4 2" xfId="25" xr:uid="{00000000-0005-0000-0000-000019000000}"/>
    <cellStyle name="Normal 4 2 2" xfId="26" xr:uid="{00000000-0005-0000-0000-00001A000000}"/>
    <cellStyle name="Normal 4 2 2 2" xfId="27" xr:uid="{00000000-0005-0000-0000-00001B000000}"/>
    <cellStyle name="Normal 4 2 3" xfId="28" xr:uid="{00000000-0005-0000-0000-00001C000000}"/>
    <cellStyle name="Normal 4 3" xfId="29" xr:uid="{00000000-0005-0000-0000-00001D000000}"/>
    <cellStyle name="Normal 4 3 2" xfId="30" xr:uid="{00000000-0005-0000-0000-00001E000000}"/>
    <cellStyle name="Normal 4 4" xfId="31" xr:uid="{00000000-0005-0000-0000-00001F000000}"/>
    <cellStyle name="Normal 4 4 2" xfId="32" xr:uid="{00000000-0005-0000-0000-000020000000}"/>
    <cellStyle name="Normal 4 5" xfId="33" xr:uid="{00000000-0005-0000-0000-000021000000}"/>
    <cellStyle name="Normal 5" xfId="34" xr:uid="{00000000-0005-0000-0000-000022000000}"/>
    <cellStyle name="Normal 5 2" xfId="35" xr:uid="{00000000-0005-0000-0000-000023000000}"/>
    <cellStyle name="Normal 5 2 2" xfId="36" xr:uid="{00000000-0005-0000-0000-000024000000}"/>
    <cellStyle name="Normal 5 2 2 2" xfId="37" xr:uid="{00000000-0005-0000-0000-000025000000}"/>
    <cellStyle name="Normal 5 2 3" xfId="38" xr:uid="{00000000-0005-0000-0000-000026000000}"/>
    <cellStyle name="Normal 5 3" xfId="39" xr:uid="{00000000-0005-0000-0000-000027000000}"/>
    <cellStyle name="Normal 5 3 2" xfId="40" xr:uid="{00000000-0005-0000-0000-000028000000}"/>
    <cellStyle name="Normal 5 4" xfId="41" xr:uid="{00000000-0005-0000-0000-000029000000}"/>
    <cellStyle name="Normal 6" xfId="42" xr:uid="{00000000-0005-0000-0000-00002A000000}"/>
    <cellStyle name="Normal 7" xfId="43" xr:uid="{00000000-0005-0000-0000-00002B000000}"/>
    <cellStyle name="Normal 8" xfId="44" xr:uid="{00000000-0005-0000-0000-00002C000000}"/>
    <cellStyle name="Normal 8 2" xfId="45" xr:uid="{00000000-0005-0000-0000-00002D000000}"/>
    <cellStyle name="Normal 9" xfId="46" xr:uid="{00000000-0005-0000-0000-00002E000000}"/>
    <cellStyle name="Percent 2" xfId="47" xr:uid="{00000000-0005-0000-0000-00002F000000}"/>
    <cellStyle name="표준 2" xfId="48" xr:uid="{00000000-0005-0000-0000-000030000000}"/>
    <cellStyle name="표준 3" xfId="49" xr:uid="{00000000-0005-0000-0000-000031000000}"/>
    <cellStyle name="표준 3 2" xfId="50" xr:uid="{00000000-0005-0000-0000-000032000000}"/>
    <cellStyle name="표준 4" xfId="51" xr:uid="{00000000-0005-0000-0000-00003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88383018270591"/>
          <c:y val="7.5521025393232716E-2"/>
          <c:w val="0.75271444182318414"/>
          <c:h val="0.7083351347227335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CP_infilt_RO!$J$8</c:f>
              <c:strCache>
                <c:ptCount val="1"/>
                <c:pt idx="0">
                  <c:v>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CP_infilt_RO!$E$11:$E$50</c:f>
              <c:numCache>
                <c:formatCode>General</c:formatCode>
                <c:ptCount val="40"/>
                <c:pt idx="0">
                  <c:v>2.8647889756541162E-2</c:v>
                </c:pt>
                <c:pt idx="1">
                  <c:v>8.5943669269623504E-2</c:v>
                </c:pt>
                <c:pt idx="2">
                  <c:v>0.14323944878270581</c:v>
                </c:pt>
                <c:pt idx="3">
                  <c:v>0.20053522829578813</c:v>
                </c:pt>
                <c:pt idx="4">
                  <c:v>0.25783100780887047</c:v>
                </c:pt>
                <c:pt idx="5">
                  <c:v>0.31512678732195282</c:v>
                </c:pt>
                <c:pt idx="6">
                  <c:v>0.37242256683503505</c:v>
                </c:pt>
                <c:pt idx="7">
                  <c:v>0.42971834634811745</c:v>
                </c:pt>
                <c:pt idx="8">
                  <c:v>0.4870141258611998</c:v>
                </c:pt>
                <c:pt idx="9">
                  <c:v>0.54430990537428203</c:v>
                </c:pt>
                <c:pt idx="10">
                  <c:v>0.60160568488736443</c:v>
                </c:pt>
                <c:pt idx="11">
                  <c:v>0.65890146440044661</c:v>
                </c:pt>
                <c:pt idx="12">
                  <c:v>0.71619724391352901</c:v>
                </c:pt>
                <c:pt idx="13">
                  <c:v>0.77349302342661141</c:v>
                </c:pt>
                <c:pt idx="14">
                  <c:v>0.8307888029396937</c:v>
                </c:pt>
                <c:pt idx="15">
                  <c:v>0.88808458245277599</c:v>
                </c:pt>
                <c:pt idx="16">
                  <c:v>0.94538036196585828</c:v>
                </c:pt>
                <c:pt idx="17">
                  <c:v>1.0026761414789407</c:v>
                </c:pt>
                <c:pt idx="18">
                  <c:v>1.0599719209920231</c:v>
                </c:pt>
                <c:pt idx="19">
                  <c:v>1.1172677005051053</c:v>
                </c:pt>
                <c:pt idx="20">
                  <c:v>1.1745634800181874</c:v>
                </c:pt>
                <c:pt idx="21">
                  <c:v>1.2318592595312701</c:v>
                </c:pt>
                <c:pt idx="22">
                  <c:v>1.2891550390443522</c:v>
                </c:pt>
                <c:pt idx="23">
                  <c:v>1.3464508185574344</c:v>
                </c:pt>
                <c:pt idx="24">
                  <c:v>1.403746598070517</c:v>
                </c:pt>
                <c:pt idx="25">
                  <c:v>1.4610423775835992</c:v>
                </c:pt>
                <c:pt idx="26">
                  <c:v>1.5183381570966819</c:v>
                </c:pt>
                <c:pt idx="27">
                  <c:v>1.5756339366097638</c:v>
                </c:pt>
                <c:pt idx="28">
                  <c:v>1.632929716122846</c:v>
                </c:pt>
                <c:pt idx="29">
                  <c:v>1.6902254956359286</c:v>
                </c:pt>
                <c:pt idx="30">
                  <c:v>1.7475212751490108</c:v>
                </c:pt>
                <c:pt idx="31">
                  <c:v>1.8048170546620934</c:v>
                </c:pt>
                <c:pt idx="32">
                  <c:v>1.8621128341751756</c:v>
                </c:pt>
                <c:pt idx="33">
                  <c:v>1.9194086136882575</c:v>
                </c:pt>
                <c:pt idx="34">
                  <c:v>1.9767043932013402</c:v>
                </c:pt>
                <c:pt idx="35">
                  <c:v>2.0340001727144226</c:v>
                </c:pt>
                <c:pt idx="36">
                  <c:v>2.091295952227505</c:v>
                </c:pt>
                <c:pt idx="37">
                  <c:v>2.1485917317405869</c:v>
                </c:pt>
                <c:pt idx="38">
                  <c:v>2.2058875112536693</c:v>
                </c:pt>
                <c:pt idx="39">
                  <c:v>2.2631832907667517</c:v>
                </c:pt>
              </c:numCache>
            </c:numRef>
          </c:xVal>
          <c:yVal>
            <c:numRef>
              <c:f>CP_infilt_RO!$F$11:$F$50</c:f>
              <c:numCache>
                <c:formatCode>0.000</c:formatCode>
                <c:ptCount val="40"/>
                <c:pt idx="0">
                  <c:v>1.5924681664357085</c:v>
                </c:pt>
                <c:pt idx="1">
                  <c:v>2.7230975775147446</c:v>
                </c:pt>
                <c:pt idx="2">
                  <c:v>3.4695475809774763</c:v>
                </c:pt>
                <c:pt idx="3">
                  <c:v>4.0501178823722039</c:v>
                </c:pt>
                <c:pt idx="4">
                  <c:v>4.5290555030822919</c:v>
                </c:pt>
                <c:pt idx="5">
                  <c:v>4.9360335375008662</c:v>
                </c:pt>
                <c:pt idx="6">
                  <c:v>5.2876937185422435</c:v>
                </c:pt>
                <c:pt idx="7">
                  <c:v>5.5944773735652307</c:v>
                </c:pt>
                <c:pt idx="8">
                  <c:v>5.8634327616166955</c:v>
                </c:pt>
                <c:pt idx="9">
                  <c:v>6.0995659567801299</c:v>
                </c:pt>
                <c:pt idx="10">
                  <c:v>6.3065648666026304</c:v>
                </c:pt>
                <c:pt idx="11">
                  <c:v>6.4872190048330145</c:v>
                </c:pt>
                <c:pt idx="12">
                  <c:v>6.6436778113565298</c:v>
                </c:pt>
                <c:pt idx="13">
                  <c:v>6.7776171144436876</c:v>
                </c:pt>
                <c:pt idx="14">
                  <c:v>6.8903502874188707</c:v>
                </c:pt>
                <c:pt idx="15">
                  <c:v>6.9829044717159849</c:v>
                </c:pt>
                <c:pt idx="16">
                  <c:v>7.0560737725262852</c:v>
                </c:pt>
                <c:pt idx="17">
                  <c:v>7.1104566484860854</c:v>
                </c:pt>
                <c:pt idx="18">
                  <c:v>7.1464819919391873</c:v>
                </c:pt>
                <c:pt idx="19">
                  <c:v>7.164426733289039</c:v>
                </c:pt>
                <c:pt idx="20">
                  <c:v>7.164426733289039</c:v>
                </c:pt>
                <c:pt idx="21">
                  <c:v>7.1464819919391873</c:v>
                </c:pt>
                <c:pt idx="22">
                  <c:v>7.1104566484860854</c:v>
                </c:pt>
                <c:pt idx="23">
                  <c:v>7.0560737725262852</c:v>
                </c:pt>
                <c:pt idx="24">
                  <c:v>6.9829044717159849</c:v>
                </c:pt>
                <c:pt idx="25">
                  <c:v>6.8903502874188707</c:v>
                </c:pt>
                <c:pt idx="26">
                  <c:v>6.7776171144436876</c:v>
                </c:pt>
                <c:pt idx="27">
                  <c:v>6.6436778113565298</c:v>
                </c:pt>
                <c:pt idx="28">
                  <c:v>6.4872190048330163</c:v>
                </c:pt>
                <c:pt idx="29">
                  <c:v>6.3065648666026304</c:v>
                </c:pt>
                <c:pt idx="30">
                  <c:v>6.0995659567801299</c:v>
                </c:pt>
                <c:pt idx="31">
                  <c:v>5.8634327616166937</c:v>
                </c:pt>
                <c:pt idx="32">
                  <c:v>5.5944773735652298</c:v>
                </c:pt>
                <c:pt idx="33">
                  <c:v>5.2876937185422452</c:v>
                </c:pt>
                <c:pt idx="34">
                  <c:v>4.9360335375008662</c:v>
                </c:pt>
                <c:pt idx="35">
                  <c:v>4.529055503082291</c:v>
                </c:pt>
                <c:pt idx="36">
                  <c:v>4.0501178823722013</c:v>
                </c:pt>
                <c:pt idx="37">
                  <c:v>3.4695475809774785</c:v>
                </c:pt>
                <c:pt idx="38">
                  <c:v>2.7230975775147446</c:v>
                </c:pt>
                <c:pt idx="39">
                  <c:v>1.5924681664357085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A-47F1-A85A-9B911033CEA3}"/>
            </c:ext>
          </c:extLst>
        </c:ser>
        <c:ser>
          <c:idx val="2"/>
          <c:order val="1"/>
          <c:tx>
            <c:strRef>
              <c:f>CP_infilt_RO!$K$8</c:f>
              <c:strCache>
                <c:ptCount val="1"/>
                <c:pt idx="0">
                  <c:v>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CP_infilt_RO!$E$11:$E$50</c:f>
              <c:numCache>
                <c:formatCode>General</c:formatCode>
                <c:ptCount val="40"/>
                <c:pt idx="0">
                  <c:v>2.8647889756541162E-2</c:v>
                </c:pt>
                <c:pt idx="1">
                  <c:v>8.5943669269623504E-2</c:v>
                </c:pt>
                <c:pt idx="2">
                  <c:v>0.14323944878270581</c:v>
                </c:pt>
                <c:pt idx="3">
                  <c:v>0.20053522829578813</c:v>
                </c:pt>
                <c:pt idx="4">
                  <c:v>0.25783100780887047</c:v>
                </c:pt>
                <c:pt idx="5">
                  <c:v>0.31512678732195282</c:v>
                </c:pt>
                <c:pt idx="6">
                  <c:v>0.37242256683503505</c:v>
                </c:pt>
                <c:pt idx="7">
                  <c:v>0.42971834634811745</c:v>
                </c:pt>
                <c:pt idx="8">
                  <c:v>0.4870141258611998</c:v>
                </c:pt>
                <c:pt idx="9">
                  <c:v>0.54430990537428203</c:v>
                </c:pt>
                <c:pt idx="10">
                  <c:v>0.60160568488736443</c:v>
                </c:pt>
                <c:pt idx="11">
                  <c:v>0.65890146440044661</c:v>
                </c:pt>
                <c:pt idx="12">
                  <c:v>0.71619724391352901</c:v>
                </c:pt>
                <c:pt idx="13">
                  <c:v>0.77349302342661141</c:v>
                </c:pt>
                <c:pt idx="14">
                  <c:v>0.8307888029396937</c:v>
                </c:pt>
                <c:pt idx="15">
                  <c:v>0.88808458245277599</c:v>
                </c:pt>
                <c:pt idx="16">
                  <c:v>0.94538036196585828</c:v>
                </c:pt>
                <c:pt idx="17">
                  <c:v>1.0026761414789407</c:v>
                </c:pt>
                <c:pt idx="18">
                  <c:v>1.0599719209920231</c:v>
                </c:pt>
                <c:pt idx="19">
                  <c:v>1.1172677005051053</c:v>
                </c:pt>
                <c:pt idx="20">
                  <c:v>1.1745634800181874</c:v>
                </c:pt>
                <c:pt idx="21">
                  <c:v>1.2318592595312701</c:v>
                </c:pt>
                <c:pt idx="22">
                  <c:v>1.2891550390443522</c:v>
                </c:pt>
                <c:pt idx="23">
                  <c:v>1.3464508185574344</c:v>
                </c:pt>
                <c:pt idx="24">
                  <c:v>1.403746598070517</c:v>
                </c:pt>
                <c:pt idx="25">
                  <c:v>1.4610423775835992</c:v>
                </c:pt>
                <c:pt idx="26">
                  <c:v>1.5183381570966819</c:v>
                </c:pt>
                <c:pt idx="27">
                  <c:v>1.5756339366097638</c:v>
                </c:pt>
                <c:pt idx="28">
                  <c:v>1.632929716122846</c:v>
                </c:pt>
                <c:pt idx="29">
                  <c:v>1.6902254956359286</c:v>
                </c:pt>
                <c:pt idx="30">
                  <c:v>1.7475212751490108</c:v>
                </c:pt>
                <c:pt idx="31">
                  <c:v>1.8048170546620934</c:v>
                </c:pt>
                <c:pt idx="32">
                  <c:v>1.8621128341751756</c:v>
                </c:pt>
                <c:pt idx="33">
                  <c:v>1.9194086136882575</c:v>
                </c:pt>
                <c:pt idx="34">
                  <c:v>1.9767043932013402</c:v>
                </c:pt>
                <c:pt idx="35">
                  <c:v>2.0340001727144226</c:v>
                </c:pt>
                <c:pt idx="36">
                  <c:v>2.091295952227505</c:v>
                </c:pt>
                <c:pt idx="37">
                  <c:v>2.1485917317405869</c:v>
                </c:pt>
                <c:pt idx="38">
                  <c:v>2.2058875112536693</c:v>
                </c:pt>
                <c:pt idx="39">
                  <c:v>2.2631832907667517</c:v>
                </c:pt>
              </c:numCache>
            </c:numRef>
          </c:xVal>
          <c:yVal>
            <c:numRef>
              <c:f>CP_infilt_RO!$L$11:$L$50</c:f>
              <c:numCache>
                <c:formatCode>0.000</c:formatCode>
                <c:ptCount val="40"/>
                <c:pt idx="0">
                  <c:v>4.4000311545720141</c:v>
                </c:pt>
                <c:pt idx="1">
                  <c:v>3.5632679702779808</c:v>
                </c:pt>
                <c:pt idx="2">
                  <c:v>3.2303793868796902</c:v>
                </c:pt>
                <c:pt idx="3">
                  <c:v>3.0282864382289363</c:v>
                </c:pt>
                <c:pt idx="4">
                  <c:v>2.8856338016642908</c:v>
                </c:pt>
                <c:pt idx="5">
                  <c:v>2.7765684550843561</c:v>
                </c:pt>
                <c:pt idx="6">
                  <c:v>2.6889248158718315</c:v>
                </c:pt>
                <c:pt idx="7">
                  <c:v>2.616051340716985</c:v>
                </c:pt>
                <c:pt idx="8">
                  <c:v>2.5539335496728302</c:v>
                </c:pt>
                <c:pt idx="9">
                  <c:v>2.4999717212765442</c:v>
                </c:pt>
                <c:pt idx="10">
                  <c:v>2.4523908334048934</c:v>
                </c:pt>
                <c:pt idx="11">
                  <c:v>2.4099278763701664</c:v>
                </c:pt>
                <c:pt idx="12">
                  <c:v>2.3716538852989628</c:v>
                </c:pt>
                <c:pt idx="13">
                  <c:v>2.3368667489405532</c:v>
                </c:pt>
                <c:pt idx="14">
                  <c:v>2.3050236042685284</c:v>
                </c:pt>
                <c:pt idx="15">
                  <c:v>2.2756965351338327</c:v>
                </c:pt>
                <c:pt idx="16">
                  <c:v>2.2485425888418846</c:v>
                </c:pt>
                <c:pt idx="17">
                  <c:v>2.2232829141350936</c:v>
                </c:pt>
                <c:pt idx="18">
                  <c:v>2.199687893794827</c:v>
                </c:pt>
                <c:pt idx="19">
                  <c:v>2.1775663249397335</c:v>
                </c:pt>
                <c:pt idx="20">
                  <c:v>2.1567573980475769</c:v>
                </c:pt>
                <c:pt idx="21">
                  <c:v>2.1371246521716403</c:v>
                </c:pt>
                <c:pt idx="22">
                  <c:v>2.1185513519133958</c:v>
                </c:pt>
                <c:pt idx="23">
                  <c:v>2.1009369045772952</c:v>
                </c:pt>
                <c:pt idx="24">
                  <c:v>2.0841940499517446</c:v>
                </c:pt>
                <c:pt idx="25">
                  <c:v>2.0682466319156614</c:v>
                </c:pt>
                <c:pt idx="26">
                  <c:v>2.0530278137041136</c:v>
                </c:pt>
                <c:pt idx="27">
                  <c:v>2.0384786353716917</c:v>
                </c:pt>
                <c:pt idx="28">
                  <c:v>2.0245468379852638</c:v>
                </c:pt>
                <c:pt idx="29">
                  <c:v>2.0111858977461554</c:v>
                </c:pt>
                <c:pt idx="30">
                  <c:v>1.9983542268246457</c:v>
                </c:pt>
                <c:pt idx="31">
                  <c:v>1.9860145076915861</c:v>
                </c:pt>
                <c:pt idx="32">
                  <c:v>1.9741331351792508</c:v>
                </c:pt>
                <c:pt idx="33">
                  <c:v>1.9626797461062557</c:v>
                </c:pt>
                <c:pt idx="34">
                  <c:v>1.9516268205571641</c:v>
                </c:pt>
                <c:pt idx="35">
                  <c:v>1.9409493421692559</c:v>
                </c:pt>
                <c:pt idx="36">
                  <c:v>1.9306245073000747</c:v>
                </c:pt>
                <c:pt idx="37">
                  <c:v>1.9206314749135287</c:v>
                </c:pt>
                <c:pt idx="38">
                  <c:v>1.9109511505638608</c:v>
                </c:pt>
                <c:pt idx="39">
                  <c:v>1.9015659990752403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A-47F1-A85A-9B911033C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63648"/>
        <c:axId val="105565568"/>
      </c:scatterChart>
      <c:valAx>
        <c:axId val="105563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(minutes)</a:t>
                </a:r>
              </a:p>
            </c:rich>
          </c:tx>
          <c:layout>
            <c:manualLayout>
              <c:xMode val="edge"/>
              <c:yMode val="edge"/>
              <c:x val="0.45414847161572058"/>
              <c:y val="0.8854188538932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5565568"/>
        <c:crosses val="autoZero"/>
        <c:crossBetween val="midCat"/>
        <c:majorUnit val="1"/>
      </c:valAx>
      <c:valAx>
        <c:axId val="105565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application rate (mm/min)  .</a:t>
                </a:r>
              </a:p>
            </c:rich>
          </c:tx>
          <c:layout>
            <c:manualLayout>
              <c:xMode val="edge"/>
              <c:yMode val="edge"/>
              <c:x val="3.4934497816593885E-2"/>
              <c:y val="0.226563046806649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55636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688" r="0.75000000000000688" t="1" header="0.5" footer="0.5"/>
    <c:pageSetup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Sprinkler</a:t>
            </a:r>
            <a:r>
              <a:rPr lang="en-US" baseline="0"/>
              <a:t> flow vs.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CP_flow_calc!$G$2:$G$165</c:f>
              <c:numCache>
                <c:formatCode>General</c:formatCode>
                <c:ptCount val="164"/>
                <c:pt idx="0">
                  <c:v>2.2871999999999999</c:v>
                </c:pt>
                <c:pt idx="1">
                  <c:v>3.4307999999999996</c:v>
                </c:pt>
                <c:pt idx="2">
                  <c:v>4.5743999999999998</c:v>
                </c:pt>
                <c:pt idx="3">
                  <c:v>5.718</c:v>
                </c:pt>
                <c:pt idx="4">
                  <c:v>6.8615999999999993</c:v>
                </c:pt>
                <c:pt idx="5">
                  <c:v>8.0052000000000003</c:v>
                </c:pt>
                <c:pt idx="6">
                  <c:v>9.1487999999999996</c:v>
                </c:pt>
                <c:pt idx="7">
                  <c:v>10.292400000000001</c:v>
                </c:pt>
                <c:pt idx="8">
                  <c:v>11.436</c:v>
                </c:pt>
                <c:pt idx="9">
                  <c:v>12.579599999999999</c:v>
                </c:pt>
                <c:pt idx="10">
                  <c:v>13.723199999999999</c:v>
                </c:pt>
                <c:pt idx="11">
                  <c:v>14.866799999999998</c:v>
                </c:pt>
                <c:pt idx="12">
                  <c:v>16.010400000000001</c:v>
                </c:pt>
                <c:pt idx="13">
                  <c:v>17.154</c:v>
                </c:pt>
                <c:pt idx="14">
                  <c:v>18.297599999999999</c:v>
                </c:pt>
                <c:pt idx="15">
                  <c:v>19.441199999999998</c:v>
                </c:pt>
                <c:pt idx="16">
                  <c:v>20.584800000000001</c:v>
                </c:pt>
                <c:pt idx="17">
                  <c:v>21.728400000000001</c:v>
                </c:pt>
                <c:pt idx="18">
                  <c:v>22.872</c:v>
                </c:pt>
                <c:pt idx="19">
                  <c:v>24.015599999999999</c:v>
                </c:pt>
                <c:pt idx="20">
                  <c:v>25.159199999999998</c:v>
                </c:pt>
                <c:pt idx="21">
                  <c:v>26.302799999999998</c:v>
                </c:pt>
                <c:pt idx="22">
                  <c:v>27.446399999999997</c:v>
                </c:pt>
                <c:pt idx="23">
                  <c:v>28.59</c:v>
                </c:pt>
                <c:pt idx="24">
                  <c:v>29.733599999999996</c:v>
                </c:pt>
                <c:pt idx="25">
                  <c:v>30.877199999999998</c:v>
                </c:pt>
                <c:pt idx="26">
                  <c:v>32.020800000000001</c:v>
                </c:pt>
                <c:pt idx="27">
                  <c:v>33.164400000000001</c:v>
                </c:pt>
                <c:pt idx="28">
                  <c:v>34.308</c:v>
                </c:pt>
                <c:pt idx="29">
                  <c:v>35.451599999999999</c:v>
                </c:pt>
                <c:pt idx="30">
                  <c:v>36.595199999999998</c:v>
                </c:pt>
                <c:pt idx="31">
                  <c:v>37.738799999999998</c:v>
                </c:pt>
                <c:pt idx="32">
                  <c:v>38.882399999999997</c:v>
                </c:pt>
                <c:pt idx="33">
                  <c:v>40.026000000000003</c:v>
                </c:pt>
                <c:pt idx="34">
                  <c:v>41.169600000000003</c:v>
                </c:pt>
                <c:pt idx="35">
                  <c:v>42.313199999999995</c:v>
                </c:pt>
                <c:pt idx="36">
                  <c:v>43.456800000000001</c:v>
                </c:pt>
                <c:pt idx="37">
                  <c:v>44.6004</c:v>
                </c:pt>
                <c:pt idx="38">
                  <c:v>34.308</c:v>
                </c:pt>
                <c:pt idx="39">
                  <c:v>34.951275000000003</c:v>
                </c:pt>
                <c:pt idx="40">
                  <c:v>35.594549999999998</c:v>
                </c:pt>
                <c:pt idx="41">
                  <c:v>36.237825000000001</c:v>
                </c:pt>
                <c:pt idx="42">
                  <c:v>36.881099999999996</c:v>
                </c:pt>
                <c:pt idx="43">
                  <c:v>37.524375000000006</c:v>
                </c:pt>
                <c:pt idx="44">
                  <c:v>38.167649999999995</c:v>
                </c:pt>
                <c:pt idx="45">
                  <c:v>38.810924999999997</c:v>
                </c:pt>
                <c:pt idx="46">
                  <c:v>39.4542</c:v>
                </c:pt>
                <c:pt idx="47">
                  <c:v>40.097474999999996</c:v>
                </c:pt>
                <c:pt idx="48">
                  <c:v>40.740749999999998</c:v>
                </c:pt>
                <c:pt idx="49">
                  <c:v>41.384024999999994</c:v>
                </c:pt>
                <c:pt idx="50">
                  <c:v>42.027300000000004</c:v>
                </c:pt>
                <c:pt idx="51">
                  <c:v>42.670574999999999</c:v>
                </c:pt>
                <c:pt idx="52">
                  <c:v>43.313849999999995</c:v>
                </c:pt>
                <c:pt idx="53">
                  <c:v>43.957124999999998</c:v>
                </c:pt>
                <c:pt idx="54">
                  <c:v>44.6004</c:v>
                </c:pt>
                <c:pt idx="55">
                  <c:v>30.16245</c:v>
                </c:pt>
                <c:pt idx="56">
                  <c:v>30.448349999999998</c:v>
                </c:pt>
                <c:pt idx="57">
                  <c:v>30.734249999999999</c:v>
                </c:pt>
                <c:pt idx="58">
                  <c:v>31.020149999999994</c:v>
                </c:pt>
                <c:pt idx="59">
                  <c:v>31.306050000000003</c:v>
                </c:pt>
                <c:pt idx="60">
                  <c:v>31.591949999999997</c:v>
                </c:pt>
                <c:pt idx="61">
                  <c:v>31.877849999999999</c:v>
                </c:pt>
                <c:pt idx="62">
                  <c:v>32.16375</c:v>
                </c:pt>
                <c:pt idx="63">
                  <c:v>32.449649999999998</c:v>
                </c:pt>
                <c:pt idx="64">
                  <c:v>32.735550000000003</c:v>
                </c:pt>
                <c:pt idx="65">
                  <c:v>33.021449999999994</c:v>
                </c:pt>
                <c:pt idx="66">
                  <c:v>33.30735</c:v>
                </c:pt>
                <c:pt idx="67">
                  <c:v>33.593249999999998</c:v>
                </c:pt>
                <c:pt idx="68">
                  <c:v>33.879150000000003</c:v>
                </c:pt>
                <c:pt idx="69">
                  <c:v>34.165050000000001</c:v>
                </c:pt>
                <c:pt idx="70">
                  <c:v>34.450949999999999</c:v>
                </c:pt>
                <c:pt idx="71">
                  <c:v>34.736849999999997</c:v>
                </c:pt>
                <c:pt idx="72">
                  <c:v>35.022749999999995</c:v>
                </c:pt>
                <c:pt idx="73">
                  <c:v>35.30865</c:v>
                </c:pt>
                <c:pt idx="74">
                  <c:v>35.594549999999998</c:v>
                </c:pt>
                <c:pt idx="75">
                  <c:v>35.880450000000003</c:v>
                </c:pt>
                <c:pt idx="76">
                  <c:v>36.166349999999994</c:v>
                </c:pt>
                <c:pt idx="77">
                  <c:v>36.452249999999999</c:v>
                </c:pt>
                <c:pt idx="78">
                  <c:v>36.738149999999997</c:v>
                </c:pt>
                <c:pt idx="79">
                  <c:v>37.024050000000003</c:v>
                </c:pt>
                <c:pt idx="80">
                  <c:v>37.309950000000001</c:v>
                </c:pt>
                <c:pt idx="81">
                  <c:v>37.595849999999999</c:v>
                </c:pt>
                <c:pt idx="82">
                  <c:v>37.881750000000004</c:v>
                </c:pt>
                <c:pt idx="83">
                  <c:v>38.167649999999995</c:v>
                </c:pt>
                <c:pt idx="84">
                  <c:v>38.45355</c:v>
                </c:pt>
                <c:pt idx="85">
                  <c:v>38.739449999999998</c:v>
                </c:pt>
                <c:pt idx="86">
                  <c:v>39.025349999999996</c:v>
                </c:pt>
                <c:pt idx="87">
                  <c:v>39.311250000000001</c:v>
                </c:pt>
                <c:pt idx="88">
                  <c:v>39.597149999999999</c:v>
                </c:pt>
                <c:pt idx="89">
                  <c:v>39.883050000000004</c:v>
                </c:pt>
                <c:pt idx="90">
                  <c:v>40.168949999999995</c:v>
                </c:pt>
                <c:pt idx="91">
                  <c:v>40.45485</c:v>
                </c:pt>
                <c:pt idx="92">
                  <c:v>40.740749999999998</c:v>
                </c:pt>
                <c:pt idx="93">
                  <c:v>41.026649999999997</c:v>
                </c:pt>
                <c:pt idx="94">
                  <c:v>41.312550000000002</c:v>
                </c:pt>
                <c:pt idx="95">
                  <c:v>41.59845</c:v>
                </c:pt>
                <c:pt idx="96">
                  <c:v>41.884349999999998</c:v>
                </c:pt>
                <c:pt idx="97">
                  <c:v>42.170250000000003</c:v>
                </c:pt>
                <c:pt idx="98">
                  <c:v>42.456149999999994</c:v>
                </c:pt>
                <c:pt idx="99">
                  <c:v>42.742050000000006</c:v>
                </c:pt>
                <c:pt idx="100">
                  <c:v>43.027949999999997</c:v>
                </c:pt>
                <c:pt idx="101">
                  <c:v>43.313849999999995</c:v>
                </c:pt>
                <c:pt idx="102">
                  <c:v>43.59975</c:v>
                </c:pt>
                <c:pt idx="103">
                  <c:v>43.885649999999998</c:v>
                </c:pt>
                <c:pt idx="104">
                  <c:v>44.171550000000003</c:v>
                </c:pt>
                <c:pt idx="105">
                  <c:v>44.457449999999994</c:v>
                </c:pt>
                <c:pt idx="106">
                  <c:v>44.74335</c:v>
                </c:pt>
                <c:pt idx="107">
                  <c:v>45.029249999999998</c:v>
                </c:pt>
                <c:pt idx="108">
                  <c:v>45.315150000000003</c:v>
                </c:pt>
                <c:pt idx="109">
                  <c:v>34.200787499999997</c:v>
                </c:pt>
                <c:pt idx="110">
                  <c:v>34.361606250000001</c:v>
                </c:pt>
                <c:pt idx="111">
                  <c:v>34.522424999999998</c:v>
                </c:pt>
                <c:pt idx="112">
                  <c:v>34.683243749999995</c:v>
                </c:pt>
                <c:pt idx="113">
                  <c:v>34.8440625</c:v>
                </c:pt>
                <c:pt idx="114">
                  <c:v>35.004881249999997</c:v>
                </c:pt>
                <c:pt idx="115">
                  <c:v>35.165700000000001</c:v>
                </c:pt>
                <c:pt idx="116">
                  <c:v>35.326518750000005</c:v>
                </c:pt>
                <c:pt idx="117">
                  <c:v>35.487337499999995</c:v>
                </c:pt>
                <c:pt idx="118">
                  <c:v>35.64815625</c:v>
                </c:pt>
                <c:pt idx="119">
                  <c:v>35.808974999999997</c:v>
                </c:pt>
                <c:pt idx="120">
                  <c:v>35.969793749999994</c:v>
                </c:pt>
                <c:pt idx="121">
                  <c:v>36.130612500000005</c:v>
                </c:pt>
                <c:pt idx="122">
                  <c:v>36.291431249999995</c:v>
                </c:pt>
                <c:pt idx="123">
                  <c:v>36.452249999999999</c:v>
                </c:pt>
                <c:pt idx="124">
                  <c:v>36.613068749999996</c:v>
                </c:pt>
                <c:pt idx="125">
                  <c:v>36.773887500000001</c:v>
                </c:pt>
                <c:pt idx="126">
                  <c:v>36.934706249999998</c:v>
                </c:pt>
                <c:pt idx="127">
                  <c:v>37.095524999999995</c:v>
                </c:pt>
                <c:pt idx="128">
                  <c:v>37.256343749999999</c:v>
                </c:pt>
                <c:pt idx="129">
                  <c:v>37.417162499999996</c:v>
                </c:pt>
                <c:pt idx="130">
                  <c:v>37.577981250000001</c:v>
                </c:pt>
                <c:pt idx="131">
                  <c:v>37.738799999999998</c:v>
                </c:pt>
                <c:pt idx="132">
                  <c:v>37.899618750000002</c:v>
                </c:pt>
                <c:pt idx="133">
                  <c:v>38.060437499999999</c:v>
                </c:pt>
                <c:pt idx="134">
                  <c:v>38.221256249999996</c:v>
                </c:pt>
                <c:pt idx="135">
                  <c:v>38.382075</c:v>
                </c:pt>
                <c:pt idx="136">
                  <c:v>38.542893749999998</c:v>
                </c:pt>
                <c:pt idx="137">
                  <c:v>38.703712500000002</c:v>
                </c:pt>
                <c:pt idx="138">
                  <c:v>38.864531249999999</c:v>
                </c:pt>
                <c:pt idx="139">
                  <c:v>39.025349999999996</c:v>
                </c:pt>
                <c:pt idx="140">
                  <c:v>39.18616875</c:v>
                </c:pt>
                <c:pt idx="141">
                  <c:v>39.346987500000004</c:v>
                </c:pt>
                <c:pt idx="142">
                  <c:v>39.507806249999994</c:v>
                </c:pt>
                <c:pt idx="143">
                  <c:v>39.668624999999999</c:v>
                </c:pt>
                <c:pt idx="144">
                  <c:v>39.829443749999996</c:v>
                </c:pt>
                <c:pt idx="145">
                  <c:v>39.990262499999993</c:v>
                </c:pt>
                <c:pt idx="146">
                  <c:v>40.151081250000004</c:v>
                </c:pt>
                <c:pt idx="147">
                  <c:v>40.311899999999994</c:v>
                </c:pt>
                <c:pt idx="148">
                  <c:v>40.472718750000006</c:v>
                </c:pt>
                <c:pt idx="149">
                  <c:v>40.633537499999996</c:v>
                </c:pt>
                <c:pt idx="150">
                  <c:v>40.79435625</c:v>
                </c:pt>
                <c:pt idx="151">
                  <c:v>40.955175000000004</c:v>
                </c:pt>
                <c:pt idx="152">
                  <c:v>41.115993749999994</c:v>
                </c:pt>
                <c:pt idx="153">
                  <c:v>41.276812499999998</c:v>
                </c:pt>
                <c:pt idx="154">
                  <c:v>41.437631249999995</c:v>
                </c:pt>
                <c:pt idx="155">
                  <c:v>41.59845</c:v>
                </c:pt>
                <c:pt idx="156">
                  <c:v>41.759268749999997</c:v>
                </c:pt>
                <c:pt idx="157">
                  <c:v>41.920087500000001</c:v>
                </c:pt>
                <c:pt idx="158">
                  <c:v>42.080906249999998</c:v>
                </c:pt>
                <c:pt idx="159">
                  <c:v>42.241725000000002</c:v>
                </c:pt>
                <c:pt idx="160">
                  <c:v>42.40254375</c:v>
                </c:pt>
                <c:pt idx="161">
                  <c:v>42.563362499999997</c:v>
                </c:pt>
                <c:pt idx="162">
                  <c:v>42.724181250000001</c:v>
                </c:pt>
                <c:pt idx="163">
                  <c:v>42.884999999999998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09-4A84-88BD-06D7FA6FF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665184"/>
        <c:axId val="1775665600"/>
      </c:scatterChart>
      <c:valAx>
        <c:axId val="17756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665600"/>
        <c:crosses val="autoZero"/>
        <c:crossBetween val="midCat"/>
      </c:valAx>
      <c:valAx>
        <c:axId val="17756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Sprinkler flow</a:t>
                </a:r>
                <a:r>
                  <a:rPr lang="en-US" baseline="0"/>
                  <a:t> (LPM)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9351717464925013E-2"/>
              <c:y val="0.29462266290787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66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Pipe pressure vs.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CP_flow_calc!$L$2:$L$165</c:f>
              <c:numCache>
                <c:formatCode>General</c:formatCode>
                <c:ptCount val="164"/>
                <c:pt idx="0">
                  <c:v>19.820482910765556</c:v>
                </c:pt>
                <c:pt idx="1">
                  <c:v>19.84109875397878</c:v>
                </c:pt>
                <c:pt idx="2">
                  <c:v>19.661913910919235</c:v>
                </c:pt>
                <c:pt idx="3">
                  <c:v>19.482994660919278</c:v>
                </c:pt>
                <c:pt idx="4">
                  <c:v>19.304407147358148</c:v>
                </c:pt>
                <c:pt idx="5">
                  <c:v>19.126217343635854</c:v>
                </c:pt>
                <c:pt idx="6">
                  <c:v>18.948491019121775</c:v>
                </c:pt>
                <c:pt idx="7">
                  <c:v>18.771293705072772</c:v>
                </c:pt>
                <c:pt idx="8">
                  <c:v>18.594690660515671</c:v>
                </c:pt>
                <c:pt idx="9">
                  <c:v>18.418746838088808</c:v>
                </c:pt>
                <c:pt idx="10">
                  <c:v>18.243526849837334</c:v>
                </c:pt>
                <c:pt idx="11">
                  <c:v>18.06909493295688</c:v>
                </c:pt>
                <c:pt idx="12">
                  <c:v>17.89551491548006</c:v>
                </c:pt>
                <c:pt idx="13">
                  <c:v>17.722850181900277</c:v>
                </c:pt>
                <c:pt idx="14">
                  <c:v>17.5511636387271</c:v>
                </c:pt>
                <c:pt idx="15">
                  <c:v>17.380517679967408</c:v>
                </c:pt>
                <c:pt idx="16">
                  <c:v>17.210974152526386</c:v>
                </c:pt>
                <c:pt idx="17">
                  <c:v>17.042594321522266</c:v>
                </c:pt>
                <c:pt idx="18">
                  <c:v>16.875438835508596</c:v>
                </c:pt>
                <c:pt idx="19">
                  <c:v>16.709567691597655</c:v>
                </c:pt>
                <c:pt idx="20">
                  <c:v>16.54504020047839</c:v>
                </c:pt>
                <c:pt idx="21">
                  <c:v>16.38191495132217</c:v>
                </c:pt>
                <c:pt idx="22">
                  <c:v>16.220249776569325</c:v>
                </c:pt>
                <c:pt idx="23">
                  <c:v>16.060101716589283</c:v>
                </c:pt>
                <c:pt idx="24">
                  <c:v>15.901526984206853</c:v>
                </c:pt>
                <c:pt idx="25">
                  <c:v>15.744580929086945</c:v>
                </c:pt>
                <c:pt idx="26">
                  <c:v>15.589318001969719</c:v>
                </c:pt>
                <c:pt idx="27">
                  <c:v>15.435791718747879</c:v>
                </c:pt>
                <c:pt idx="28">
                  <c:v>15.284054624377461</c:v>
                </c:pt>
                <c:pt idx="29">
                  <c:v>15.134158256613166</c:v>
                </c:pt>
                <c:pt idx="30">
                  <c:v>14.986153109558847</c:v>
                </c:pt>
                <c:pt idx="31">
                  <c:v>14.840088597023399</c:v>
                </c:pt>
                <c:pt idx="32">
                  <c:v>14.696013015671845</c:v>
                </c:pt>
                <c:pt idx="33">
                  <c:v>14.553973507960926</c:v>
                </c:pt>
                <c:pt idx="34">
                  <c:v>14.414016024848019</c:v>
                </c:pt>
                <c:pt idx="35">
                  <c:v>14.276185288261624</c:v>
                </c:pt>
                <c:pt idx="36">
                  <c:v>14.140524753321102</c:v>
                </c:pt>
                <c:pt idx="37">
                  <c:v>14.00707657029267</c:v>
                </c:pt>
                <c:pt idx="38">
                  <c:v>13.908680302274167</c:v>
                </c:pt>
                <c:pt idx="39">
                  <c:v>13.811574920408543</c:v>
                </c:pt>
                <c:pt idx="40">
                  <c:v>13.715776559962155</c:v>
                </c:pt>
                <c:pt idx="41">
                  <c:v>13.621300897474397</c:v>
                </c:pt>
                <c:pt idx="42">
                  <c:v>13.528163141398393</c:v>
                </c:pt>
                <c:pt idx="43">
                  <c:v>13.43637802267968</c:v>
                </c:pt>
                <c:pt idx="44">
                  <c:v>13.345959785270413</c:v>
                </c:pt>
                <c:pt idx="45">
                  <c:v>13.256922176576497</c:v>
                </c:pt>
                <c:pt idx="46">
                  <c:v>13.169278437834974</c:v>
                </c:pt>
                <c:pt idx="47">
                  <c:v>13.083041294418802</c:v>
                </c:pt>
                <c:pt idx="48">
                  <c:v>12.99822294606607</c:v>
                </c:pt>
                <c:pt idx="49">
                  <c:v>12.914835057030531</c:v>
                </c:pt>
                <c:pt idx="50">
                  <c:v>12.832888746150163</c:v>
                </c:pt>
                <c:pt idx="51">
                  <c:v>12.752394576830307</c:v>
                </c:pt>
                <c:pt idx="52">
                  <c:v>12.673362546937755</c:v>
                </c:pt>
                <c:pt idx="53">
                  <c:v>12.595802078601947</c:v>
                </c:pt>
                <c:pt idx="54">
                  <c:v>12.519722007919245</c:v>
                </c:pt>
                <c:pt idx="55">
                  <c:v>12.469994385677079</c:v>
                </c:pt>
                <c:pt idx="56">
                  <c:v>12.420932805641161</c:v>
                </c:pt>
                <c:pt idx="57">
                  <c:v>12.372539388110676</c:v>
                </c:pt>
                <c:pt idx="58">
                  <c:v>12.324816130033604</c:v>
                </c:pt>
                <c:pt idx="59">
                  <c:v>12.27776490358711</c:v>
                </c:pt>
                <c:pt idx="60">
                  <c:v>12.23138745474718</c:v>
                </c:pt>
                <c:pt idx="61">
                  <c:v>12.185685401847175</c:v>
                </c:pt>
                <c:pt idx="62">
                  <c:v>12.140660234124971</c:v>
                </c:pt>
                <c:pt idx="63">
                  <c:v>12.09631331025829</c:v>
                </c:pt>
                <c:pt idx="64">
                  <c:v>12.052645856887876</c:v>
                </c:pt>
                <c:pt idx="65">
                  <c:v>12.009658967128091</c:v>
                </c:pt>
                <c:pt idx="66">
                  <c:v>11.967353599064536</c:v>
                </c:pt>
                <c:pt idx="67">
                  <c:v>11.925730574238262</c:v>
                </c:pt>
                <c:pt idx="68">
                  <c:v>11.884790576116115</c:v>
                </c:pt>
                <c:pt idx="69">
                  <c:v>11.844534148546751</c:v>
                </c:pt>
                <c:pt idx="70">
                  <c:v>11.80496169420182</c:v>
                </c:pt>
                <c:pt idx="71">
                  <c:v>11.766073473001809</c:v>
                </c:pt>
                <c:pt idx="72">
                  <c:v>11.727869600526001</c:v>
                </c:pt>
                <c:pt idx="73">
                  <c:v>11.690350046405985</c:v>
                </c:pt>
                <c:pt idx="74">
                  <c:v>11.653514632702118</c:v>
                </c:pt>
                <c:pt idx="75">
                  <c:v>11.61736303226232</c:v>
                </c:pt>
                <c:pt idx="76">
                  <c:v>11.581894767062543</c:v>
                </c:pt>
                <c:pt idx="77">
                  <c:v>11.547109206528232</c:v>
                </c:pt>
                <c:pt idx="78">
                  <c:v>11.513005565836041</c:v>
                </c:pt>
                <c:pt idx="79">
                  <c:v>11.479582904195054</c:v>
                </c:pt>
                <c:pt idx="80">
                  <c:v>11.446840123106702</c:v>
                </c:pt>
                <c:pt idx="81">
                  <c:v>11.414775964602534</c:v>
                </c:pt>
                <c:pt idx="82">
                  <c:v>11.383389009458934</c:v>
                </c:pt>
                <c:pt idx="83">
                  <c:v>11.352677675387868</c:v>
                </c:pt>
                <c:pt idx="84">
                  <c:v>11.322640215202627</c:v>
                </c:pt>
                <c:pt idx="85">
                  <c:v>11.293274714957551</c:v>
                </c:pt>
                <c:pt idx="86">
                  <c:v>11.264579092060586</c:v>
                </c:pt>
                <c:pt idx="87">
                  <c:v>11.236551093357512</c:v>
                </c:pt>
                <c:pt idx="88">
                  <c:v>11.209188293186571</c:v>
                </c:pt>
                <c:pt idx="89">
                  <c:v>11.182488091402174</c:v>
                </c:pt>
                <c:pt idx="90">
                  <c:v>11.156447711366269</c:v>
                </c:pt>
                <c:pt idx="91">
                  <c:v>11.131064197905856</c:v>
                </c:pt>
                <c:pt idx="92">
                  <c:v>11.106334415235052</c:v>
                </c:pt>
                <c:pt idx="93">
                  <c:v>11.082255044840002</c:v>
                </c:pt>
                <c:pt idx="94">
                  <c:v>11.058822583324782</c:v>
                </c:pt>
                <c:pt idx="95">
                  <c:v>11.036033340216376</c:v>
                </c:pt>
                <c:pt idx="96">
                  <c:v>11.013883435726619</c:v>
                </c:pt>
                <c:pt idx="97">
                  <c:v>10.992368798468865</c:v>
                </c:pt>
                <c:pt idx="98">
                  <c:v>10.971485163126996</c:v>
                </c:pt>
                <c:pt idx="99">
                  <c:v>10.951228068074178</c:v>
                </c:pt>
                <c:pt idx="100">
                  <c:v>10.931592852938593</c:v>
                </c:pt>
                <c:pt idx="101">
                  <c:v>10.912574656113158</c:v>
                </c:pt>
                <c:pt idx="102">
                  <c:v>10.894168412206009</c:v>
                </c:pt>
                <c:pt idx="103">
                  <c:v>10.876368849428253</c:v>
                </c:pt>
                <c:pt idx="104">
                  <c:v>10.859170486915236</c:v>
                </c:pt>
                <c:pt idx="105">
                  <c:v>10.842567631977191</c:v>
                </c:pt>
                <c:pt idx="106">
                  <c:v>10.826554377274881</c:v>
                </c:pt>
                <c:pt idx="107">
                  <c:v>10.811124597915342</c:v>
                </c:pt>
                <c:pt idx="108">
                  <c:v>10.796271948462476</c:v>
                </c:pt>
                <c:pt idx="109">
                  <c:v>10.785560382008171</c:v>
                </c:pt>
                <c:pt idx="110">
                  <c:v>10.775166667962244</c:v>
                </c:pt>
                <c:pt idx="111">
                  <c:v>10.76508785975496</c:v>
                </c:pt>
                <c:pt idx="112">
                  <c:v>10.755320937277355</c:v>
                </c:pt>
                <c:pt idx="113">
                  <c:v>10.745862806060925</c:v>
                </c:pt>
                <c:pt idx="114">
                  <c:v>10.736710296435268</c:v>
                </c:pt>
                <c:pt idx="115">
                  <c:v>10.727860162662418</c:v>
                </c:pt>
                <c:pt idx="116">
                  <c:v>10.719309082046498</c:v>
                </c:pt>
                <c:pt idx="117">
                  <c:v>10.711053654017183</c:v>
                </c:pt>
                <c:pt idx="118">
                  <c:v>10.703090399185371</c:v>
                </c:pt>
                <c:pt idx="119">
                  <c:v>10.695415758369297</c:v>
                </c:pt>
                <c:pt idx="120">
                  <c:v>10.688026091589196</c:v>
                </c:pt>
                <c:pt idx="121">
                  <c:v>10.6809176770284</c:v>
                </c:pt>
                <c:pt idx="122">
                  <c:v>10.674086709958639</c:v>
                </c:pt>
                <c:pt idx="123">
                  <c:v>10.667529301627013</c:v>
                </c:pt>
                <c:pt idx="124">
                  <c:v>10.661241478101939</c:v>
                </c:pt>
                <c:pt idx="125">
                  <c:v>10.655219179075052</c:v>
                </c:pt>
                <c:pt idx="126">
                  <c:v>10.649458256615761</c:v>
                </c:pt>
                <c:pt idx="127">
                  <c:v>10.643954473874805</c:v>
                </c:pt>
                <c:pt idx="128">
                  <c:v>10.638703503732765</c:v>
                </c:pt>
                <c:pt idx="129">
                  <c:v>10.633700927389043</c:v>
                </c:pt>
                <c:pt idx="130">
                  <c:v>10.628942232886292</c:v>
                </c:pt>
                <c:pt idx="131">
                  <c:v>10.624422813564724</c:v>
                </c:pt>
                <c:pt idx="132">
                  <c:v>10.620137966440019</c:v>
                </c:pt>
                <c:pt idx="133">
                  <c:v>10.616082890497799</c:v>
                </c:pt>
                <c:pt idx="134">
                  <c:v>10.61225268489671</c:v>
                </c:pt>
                <c:pt idx="135">
                  <c:v>10.608642347071109</c:v>
                </c:pt>
                <c:pt idx="136">
                  <c:v>10.605246770723099</c:v>
                </c:pt>
                <c:pt idx="137">
                  <c:v>10.602060743692219</c:v>
                </c:pt>
                <c:pt idx="138">
                  <c:v>10.599078945689332</c:v>
                </c:pt>
                <c:pt idx="139">
                  <c:v>10.596295945879218</c:v>
                </c:pt>
                <c:pt idx="140">
                  <c:v>10.593706200293884</c:v>
                </c:pt>
                <c:pt idx="141">
                  <c:v>10.59130404905561</c:v>
                </c:pt>
                <c:pt idx="142">
                  <c:v>10.589083713385122</c:v>
                </c:pt>
                <c:pt idx="143">
                  <c:v>10.58703929236578</c:v>
                </c:pt>
                <c:pt idx="144">
                  <c:v>10.58516475942916</c:v>
                </c:pt>
                <c:pt idx="145">
                  <c:v>10.583453958520469</c:v>
                </c:pt>
                <c:pt idx="146">
                  <c:v>10.581900599893491</c:v>
                </c:pt>
                <c:pt idx="147">
                  <c:v>10.580498255473614</c:v>
                </c:pt>
                <c:pt idx="148">
                  <c:v>10.579240353713015</c:v>
                </c:pt>
                <c:pt idx="149">
                  <c:v>10.578120173843141</c:v>
                </c:pt>
                <c:pt idx="150">
                  <c:v>10.577130839404397</c:v>
                </c:pt>
                <c:pt idx="151">
                  <c:v>10.576265310898689</c:v>
                </c:pt>
                <c:pt idx="152">
                  <c:v>10.575516377363169</c:v>
                </c:pt>
                <c:pt idx="153">
                  <c:v>10.574876646596568</c:v>
                </c:pt>
                <c:pt idx="154">
                  <c:v>10.574338533672382</c:v>
                </c:pt>
                <c:pt idx="155">
                  <c:v>10.573894247227855</c:v>
                </c:pt>
                <c:pt idx="156">
                  <c:v>10.573535772792562</c:v>
                </c:pt>
                <c:pt idx="157">
                  <c:v>10.573254852056223</c:v>
                </c:pt>
                <c:pt idx="158">
                  <c:v>10.573042956355103</c:v>
                </c:pt>
                <c:pt idx="159">
                  <c:v>10.572891251528265</c:v>
                </c:pt>
                <c:pt idx="160">
                  <c:v>10.572790549062368</c:v>
                </c:pt>
                <c:pt idx="161">
                  <c:v>10.5727312334859</c:v>
                </c:pt>
                <c:pt idx="162">
                  <c:v>10.572703142946075</c:v>
                </c:pt>
                <c:pt idx="163">
                  <c:v>10.572695334546369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6-4638-AA9D-98913D41F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665184"/>
        <c:axId val="1775665600"/>
      </c:scatterChart>
      <c:valAx>
        <c:axId val="17756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665600"/>
        <c:crosses val="autoZero"/>
        <c:crossBetween val="midCat"/>
      </c:valAx>
      <c:valAx>
        <c:axId val="177566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Pipe pressure </a:t>
                </a:r>
                <a:r>
                  <a:rPr lang="en-US" baseline="0"/>
                  <a:t>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9351717464925013E-2"/>
              <c:y val="0.29462266290787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66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6</xdr:row>
      <xdr:rowOff>93345</xdr:rowOff>
    </xdr:from>
    <xdr:to>
      <xdr:col>3</xdr:col>
      <xdr:colOff>112395</xdr:colOff>
      <xdr:row>27</xdr:row>
      <xdr:rowOff>150495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0</xdr:row>
          <xdr:rowOff>99060</xdr:rowOff>
        </xdr:from>
        <xdr:to>
          <xdr:col>2</xdr:col>
          <xdr:colOff>1242060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2</xdr:row>
          <xdr:rowOff>114300</xdr:rowOff>
        </xdr:from>
        <xdr:to>
          <xdr:col>2</xdr:col>
          <xdr:colOff>1242060</xdr:colOff>
          <xdr:row>4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388620</xdr:colOff>
      <xdr:row>9</xdr:row>
      <xdr:rowOff>99060</xdr:rowOff>
    </xdr:from>
    <xdr:to>
      <xdr:col>8</xdr:col>
      <xdr:colOff>205740</xdr:colOff>
      <xdr:row>28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73FB69-D293-4FAE-147B-178EAE086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99060</xdr:rowOff>
    </xdr:from>
    <xdr:to>
      <xdr:col>12</xdr:col>
      <xdr:colOff>632460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D1241E-829F-46BC-B73B-09E478981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ler/Downloads/Chapter%2012%20Center%20pivot%20irrig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_infilt_RO"/>
      <sheetName val="CP_summary_data"/>
      <sheetName val="CP_Parameterization"/>
      <sheetName val="Center_pivot_spatial_data"/>
      <sheetName val="CP_System_curves"/>
      <sheetName val="CP_flow_calc"/>
      <sheetName val="CP_flow_output"/>
      <sheetName val="CP_yield_output"/>
      <sheetName val="C_1"/>
      <sheetName val="C_2"/>
      <sheetName val="C_3"/>
      <sheetName val="C_4"/>
      <sheetName val="C_5"/>
      <sheetName val="C_6"/>
      <sheetName val="C_7"/>
      <sheetName val="C_8"/>
      <sheetName val="C_9"/>
      <sheetName val="C_10"/>
      <sheetName val="C_11"/>
      <sheetName val="C_12"/>
      <sheetName val="C_13"/>
      <sheetName val="C_14"/>
      <sheetName val="C_15"/>
      <sheetName val="C_16"/>
      <sheetName val="C_17"/>
      <sheetName val="C_18"/>
      <sheetName val="C_19"/>
      <sheetName val="C_20"/>
      <sheetName val="C_21"/>
      <sheetName val="C_22"/>
      <sheetName val="C_23"/>
      <sheetName val="C_24"/>
      <sheetName val="C_25"/>
      <sheetName val="C_26"/>
      <sheetName val="C_27"/>
      <sheetName val="C_28"/>
      <sheetName val="C_29"/>
      <sheetName val="C_30"/>
      <sheetName val="C_31"/>
      <sheetName val="C_32"/>
      <sheetName val="C_33"/>
      <sheetName val="C_34"/>
      <sheetName val="C_35"/>
      <sheetName val="C_36"/>
      <sheetName val="C_37"/>
      <sheetName val="C_38"/>
      <sheetName val="C_39"/>
      <sheetName val="C_40"/>
      <sheetName val="C_41"/>
      <sheetName val="C_42"/>
      <sheetName val="C_43"/>
      <sheetName val="C_44"/>
      <sheetName val="C_45"/>
      <sheetName val="C_46"/>
      <sheetName val="C_47"/>
      <sheetName val="C_48"/>
      <sheetName val="C_49"/>
      <sheetName val="C_50"/>
      <sheetName val="C_51"/>
      <sheetName val="C_52"/>
      <sheetName val="C_53"/>
      <sheetName val="C_54"/>
      <sheetName val="C_55"/>
      <sheetName val="C_56"/>
      <sheetName val="C_57"/>
      <sheetName val="C_58"/>
      <sheetName val="C_59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78"/>
      <sheetName val="C_79"/>
      <sheetName val="C_80"/>
      <sheetName val="C_81"/>
      <sheetName val="C_82"/>
      <sheetName val="C_83"/>
      <sheetName val="C_84"/>
      <sheetName val="C_85"/>
      <sheetName val="C_86"/>
      <sheetName val="C_87"/>
      <sheetName val="C_88"/>
      <sheetName val="C_89"/>
      <sheetName val="C_90"/>
      <sheetName val="C_91"/>
      <sheetName val="C_92"/>
      <sheetName val="C_93"/>
      <sheetName val="C_94"/>
      <sheetName val="C_95"/>
      <sheetName val="C_96"/>
      <sheetName val="C_97"/>
      <sheetName val="C_98"/>
      <sheetName val="C_99"/>
      <sheetName val="C_100"/>
      <sheetName val="C_101"/>
      <sheetName val="C_102"/>
      <sheetName val="C_103"/>
      <sheetName val="C_104"/>
      <sheetName val="C_105"/>
      <sheetName val="C_106"/>
      <sheetName val="C_107"/>
      <sheetName val="C_108"/>
      <sheetName val="C_109"/>
      <sheetName val="C_110"/>
      <sheetName val="C_111"/>
      <sheetName val="C_112"/>
      <sheetName val="C_113"/>
      <sheetName val="C_114"/>
      <sheetName val="C_115"/>
      <sheetName val="C_116"/>
      <sheetName val="C_117"/>
      <sheetName val="C_118"/>
      <sheetName val="C_119"/>
      <sheetName val="C_120"/>
      <sheetName val="C_121"/>
      <sheetName val="C_122"/>
      <sheetName val="C_123"/>
      <sheetName val="C_124"/>
      <sheetName val="C_125"/>
      <sheetName val="C_126"/>
      <sheetName val="C_127"/>
      <sheetName val="C_128"/>
      <sheetName val="C_129"/>
      <sheetName val="C_130"/>
      <sheetName val="C_131"/>
      <sheetName val="C_132"/>
      <sheetName val="C_133"/>
      <sheetName val="C_134"/>
      <sheetName val="C_135"/>
      <sheetName val="C_136"/>
      <sheetName val="C_137"/>
      <sheetName val="C_138"/>
      <sheetName val="C_139"/>
      <sheetName val="C_140"/>
      <sheetName val="C_141"/>
      <sheetName val="C_142"/>
      <sheetName val="C_143"/>
      <sheetName val="C_144"/>
      <sheetName val="C_145"/>
      <sheetName val="C_146"/>
      <sheetName val="C_147"/>
      <sheetName val="C_148"/>
      <sheetName val="C_149"/>
      <sheetName val="C_150"/>
      <sheetName val="C_151"/>
      <sheetName val="C_152"/>
      <sheetName val="C_153"/>
      <sheetName val="C_154"/>
      <sheetName val="C_155"/>
      <sheetName val="C_156"/>
      <sheetName val="C_157"/>
      <sheetName val="C_158"/>
      <sheetName val="C_159"/>
      <sheetName val="C_160"/>
      <sheetName val="C_161"/>
      <sheetName val="C_162"/>
      <sheetName val="C_163"/>
      <sheetName val="C_164"/>
      <sheetName val="C_165"/>
      <sheetName val="C_166"/>
      <sheetName val="C_167"/>
      <sheetName val="C_168"/>
      <sheetName val="C_169"/>
      <sheetName val="C_170"/>
      <sheetName val="C_171"/>
      <sheetName val="C_172"/>
      <sheetName val="C_173"/>
      <sheetName val="C_174"/>
      <sheetName val="C_175"/>
      <sheetName val="C_176"/>
      <sheetName val="C_177"/>
      <sheetName val="C_178"/>
      <sheetName val="C_179"/>
      <sheetName val="C_180"/>
      <sheetName val="C_181"/>
      <sheetName val="C_182"/>
      <sheetName val="C_183"/>
      <sheetName val="C_184"/>
      <sheetName val="C_185"/>
      <sheetName val="C_186"/>
      <sheetName val="C_187"/>
      <sheetName val="C_188"/>
      <sheetName val="C_189"/>
      <sheetName val="C_190"/>
      <sheetName val="C_191"/>
      <sheetName val="C_192"/>
    </sheetNames>
    <sheetDataSet>
      <sheetData sheetId="0">
        <row r="2">
          <cell r="H2">
            <v>14.25</v>
          </cell>
        </row>
        <row r="4">
          <cell r="E4">
            <v>0.38197186342054879</v>
          </cell>
          <cell r="H4">
            <v>15.833333333333336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2"/>
  <dimension ref="A1:AB250"/>
  <sheetViews>
    <sheetView zoomScaleNormal="100" workbookViewId="0">
      <selection activeCell="K4" sqref="K4"/>
    </sheetView>
  </sheetViews>
  <sheetFormatPr defaultRowHeight="13.2"/>
  <cols>
    <col min="1" max="1" width="20.6640625" style="9" customWidth="1"/>
    <col min="2" max="2" width="28.33203125" style="9" customWidth="1"/>
    <col min="3" max="3" width="25.6640625" style="9" customWidth="1"/>
    <col min="4" max="4" width="18.6640625" style="9" customWidth="1"/>
    <col min="5" max="5" width="9.109375" style="9"/>
    <col min="6" max="6" width="13.109375" style="9" customWidth="1"/>
    <col min="7" max="7" width="13.88671875" style="9" customWidth="1"/>
    <col min="8" max="8" width="12.44140625" style="9" customWidth="1"/>
    <col min="9" max="9" width="9.33203125" style="9" customWidth="1"/>
    <col min="10" max="10" width="8.5546875" style="9" customWidth="1"/>
    <col min="11" max="11" width="8.33203125" style="9" customWidth="1"/>
    <col min="12" max="13" width="9.109375" style="9" customWidth="1"/>
    <col min="14" max="14" width="11.33203125" style="111" customWidth="1"/>
    <col min="15" max="15" width="12.109375" style="9" customWidth="1"/>
    <col min="16" max="258" width="9.109375" style="9"/>
    <col min="259" max="259" width="16.5546875" style="9" customWidth="1"/>
    <col min="260" max="260" width="17" style="9" customWidth="1"/>
    <col min="261" max="261" width="25.6640625" style="9" customWidth="1"/>
    <col min="262" max="262" width="11.88671875" style="9" customWidth="1"/>
    <col min="263" max="263" width="9.109375" style="9"/>
    <col min="264" max="264" width="12.5546875" style="9" customWidth="1"/>
    <col min="265" max="265" width="13.33203125" style="9" customWidth="1"/>
    <col min="266" max="514" width="9.109375" style="9"/>
    <col min="515" max="515" width="16.5546875" style="9" customWidth="1"/>
    <col min="516" max="516" width="17" style="9" customWidth="1"/>
    <col min="517" max="517" width="25.6640625" style="9" customWidth="1"/>
    <col min="518" max="518" width="11.88671875" style="9" customWidth="1"/>
    <col min="519" max="519" width="9.109375" style="9"/>
    <col min="520" max="520" width="12.5546875" style="9" customWidth="1"/>
    <col min="521" max="521" width="13.33203125" style="9" customWidth="1"/>
    <col min="522" max="770" width="9.109375" style="9"/>
    <col min="771" max="771" width="16.5546875" style="9" customWidth="1"/>
    <col min="772" max="772" width="17" style="9" customWidth="1"/>
    <col min="773" max="773" width="25.6640625" style="9" customWidth="1"/>
    <col min="774" max="774" width="11.88671875" style="9" customWidth="1"/>
    <col min="775" max="775" width="9.109375" style="9"/>
    <col min="776" max="776" width="12.5546875" style="9" customWidth="1"/>
    <col min="777" max="777" width="13.33203125" style="9" customWidth="1"/>
    <col min="778" max="1026" width="9.109375" style="9"/>
    <col min="1027" max="1027" width="16.5546875" style="9" customWidth="1"/>
    <col min="1028" max="1028" width="17" style="9" customWidth="1"/>
    <col min="1029" max="1029" width="25.6640625" style="9" customWidth="1"/>
    <col min="1030" max="1030" width="11.88671875" style="9" customWidth="1"/>
    <col min="1031" max="1031" width="9.109375" style="9"/>
    <col min="1032" max="1032" width="12.5546875" style="9" customWidth="1"/>
    <col min="1033" max="1033" width="13.33203125" style="9" customWidth="1"/>
    <col min="1034" max="1282" width="9.109375" style="9"/>
    <col min="1283" max="1283" width="16.5546875" style="9" customWidth="1"/>
    <col min="1284" max="1284" width="17" style="9" customWidth="1"/>
    <col min="1285" max="1285" width="25.6640625" style="9" customWidth="1"/>
    <col min="1286" max="1286" width="11.88671875" style="9" customWidth="1"/>
    <col min="1287" max="1287" width="9.109375" style="9"/>
    <col min="1288" max="1288" width="12.5546875" style="9" customWidth="1"/>
    <col min="1289" max="1289" width="13.33203125" style="9" customWidth="1"/>
    <col min="1290" max="1538" width="9.109375" style="9"/>
    <col min="1539" max="1539" width="16.5546875" style="9" customWidth="1"/>
    <col min="1540" max="1540" width="17" style="9" customWidth="1"/>
    <col min="1541" max="1541" width="25.6640625" style="9" customWidth="1"/>
    <col min="1542" max="1542" width="11.88671875" style="9" customWidth="1"/>
    <col min="1543" max="1543" width="9.109375" style="9"/>
    <col min="1544" max="1544" width="12.5546875" style="9" customWidth="1"/>
    <col min="1545" max="1545" width="13.33203125" style="9" customWidth="1"/>
    <col min="1546" max="1794" width="9.109375" style="9"/>
    <col min="1795" max="1795" width="16.5546875" style="9" customWidth="1"/>
    <col min="1796" max="1796" width="17" style="9" customWidth="1"/>
    <col min="1797" max="1797" width="25.6640625" style="9" customWidth="1"/>
    <col min="1798" max="1798" width="11.88671875" style="9" customWidth="1"/>
    <col min="1799" max="1799" width="9.109375" style="9"/>
    <col min="1800" max="1800" width="12.5546875" style="9" customWidth="1"/>
    <col min="1801" max="1801" width="13.33203125" style="9" customWidth="1"/>
    <col min="1802" max="2050" width="9.109375" style="9"/>
    <col min="2051" max="2051" width="16.5546875" style="9" customWidth="1"/>
    <col min="2052" max="2052" width="17" style="9" customWidth="1"/>
    <col min="2053" max="2053" width="25.6640625" style="9" customWidth="1"/>
    <col min="2054" max="2054" width="11.88671875" style="9" customWidth="1"/>
    <col min="2055" max="2055" width="9.109375" style="9"/>
    <col min="2056" max="2056" width="12.5546875" style="9" customWidth="1"/>
    <col min="2057" max="2057" width="13.33203125" style="9" customWidth="1"/>
    <col min="2058" max="2306" width="9.109375" style="9"/>
    <col min="2307" max="2307" width="16.5546875" style="9" customWidth="1"/>
    <col min="2308" max="2308" width="17" style="9" customWidth="1"/>
    <col min="2309" max="2309" width="25.6640625" style="9" customWidth="1"/>
    <col min="2310" max="2310" width="11.88671875" style="9" customWidth="1"/>
    <col min="2311" max="2311" width="9.109375" style="9"/>
    <col min="2312" max="2312" width="12.5546875" style="9" customWidth="1"/>
    <col min="2313" max="2313" width="13.33203125" style="9" customWidth="1"/>
    <col min="2314" max="2562" width="9.109375" style="9"/>
    <col min="2563" max="2563" width="16.5546875" style="9" customWidth="1"/>
    <col min="2564" max="2564" width="17" style="9" customWidth="1"/>
    <col min="2565" max="2565" width="25.6640625" style="9" customWidth="1"/>
    <col min="2566" max="2566" width="11.88671875" style="9" customWidth="1"/>
    <col min="2567" max="2567" width="9.109375" style="9"/>
    <col min="2568" max="2568" width="12.5546875" style="9" customWidth="1"/>
    <col min="2569" max="2569" width="13.33203125" style="9" customWidth="1"/>
    <col min="2570" max="2818" width="9.109375" style="9"/>
    <col min="2819" max="2819" width="16.5546875" style="9" customWidth="1"/>
    <col min="2820" max="2820" width="17" style="9" customWidth="1"/>
    <col min="2821" max="2821" width="25.6640625" style="9" customWidth="1"/>
    <col min="2822" max="2822" width="11.88671875" style="9" customWidth="1"/>
    <col min="2823" max="2823" width="9.109375" style="9"/>
    <col min="2824" max="2824" width="12.5546875" style="9" customWidth="1"/>
    <col min="2825" max="2825" width="13.33203125" style="9" customWidth="1"/>
    <col min="2826" max="3074" width="9.109375" style="9"/>
    <col min="3075" max="3075" width="16.5546875" style="9" customWidth="1"/>
    <col min="3076" max="3076" width="17" style="9" customWidth="1"/>
    <col min="3077" max="3077" width="25.6640625" style="9" customWidth="1"/>
    <col min="3078" max="3078" width="11.88671875" style="9" customWidth="1"/>
    <col min="3079" max="3079" width="9.109375" style="9"/>
    <col min="3080" max="3080" width="12.5546875" style="9" customWidth="1"/>
    <col min="3081" max="3081" width="13.33203125" style="9" customWidth="1"/>
    <col min="3082" max="3330" width="9.109375" style="9"/>
    <col min="3331" max="3331" width="16.5546875" style="9" customWidth="1"/>
    <col min="3332" max="3332" width="17" style="9" customWidth="1"/>
    <col min="3333" max="3333" width="25.6640625" style="9" customWidth="1"/>
    <col min="3334" max="3334" width="11.88671875" style="9" customWidth="1"/>
    <col min="3335" max="3335" width="9.109375" style="9"/>
    <col min="3336" max="3336" width="12.5546875" style="9" customWidth="1"/>
    <col min="3337" max="3337" width="13.33203125" style="9" customWidth="1"/>
    <col min="3338" max="3586" width="9.109375" style="9"/>
    <col min="3587" max="3587" width="16.5546875" style="9" customWidth="1"/>
    <col min="3588" max="3588" width="17" style="9" customWidth="1"/>
    <col min="3589" max="3589" width="25.6640625" style="9" customWidth="1"/>
    <col min="3590" max="3590" width="11.88671875" style="9" customWidth="1"/>
    <col min="3591" max="3591" width="9.109375" style="9"/>
    <col min="3592" max="3592" width="12.5546875" style="9" customWidth="1"/>
    <col min="3593" max="3593" width="13.33203125" style="9" customWidth="1"/>
    <col min="3594" max="3842" width="9.109375" style="9"/>
    <col min="3843" max="3843" width="16.5546875" style="9" customWidth="1"/>
    <col min="3844" max="3844" width="17" style="9" customWidth="1"/>
    <col min="3845" max="3845" width="25.6640625" style="9" customWidth="1"/>
    <col min="3846" max="3846" width="11.88671875" style="9" customWidth="1"/>
    <col min="3847" max="3847" width="9.109375" style="9"/>
    <col min="3848" max="3848" width="12.5546875" style="9" customWidth="1"/>
    <col min="3849" max="3849" width="13.33203125" style="9" customWidth="1"/>
    <col min="3850" max="4098" width="9.109375" style="9"/>
    <col min="4099" max="4099" width="16.5546875" style="9" customWidth="1"/>
    <col min="4100" max="4100" width="17" style="9" customWidth="1"/>
    <col min="4101" max="4101" width="25.6640625" style="9" customWidth="1"/>
    <col min="4102" max="4102" width="11.88671875" style="9" customWidth="1"/>
    <col min="4103" max="4103" width="9.109375" style="9"/>
    <col min="4104" max="4104" width="12.5546875" style="9" customWidth="1"/>
    <col min="4105" max="4105" width="13.33203125" style="9" customWidth="1"/>
    <col min="4106" max="4354" width="9.109375" style="9"/>
    <col min="4355" max="4355" width="16.5546875" style="9" customWidth="1"/>
    <col min="4356" max="4356" width="17" style="9" customWidth="1"/>
    <col min="4357" max="4357" width="25.6640625" style="9" customWidth="1"/>
    <col min="4358" max="4358" width="11.88671875" style="9" customWidth="1"/>
    <col min="4359" max="4359" width="9.109375" style="9"/>
    <col min="4360" max="4360" width="12.5546875" style="9" customWidth="1"/>
    <col min="4361" max="4361" width="13.33203125" style="9" customWidth="1"/>
    <col min="4362" max="4610" width="9.109375" style="9"/>
    <col min="4611" max="4611" width="16.5546875" style="9" customWidth="1"/>
    <col min="4612" max="4612" width="17" style="9" customWidth="1"/>
    <col min="4613" max="4613" width="25.6640625" style="9" customWidth="1"/>
    <col min="4614" max="4614" width="11.88671875" style="9" customWidth="1"/>
    <col min="4615" max="4615" width="9.109375" style="9"/>
    <col min="4616" max="4616" width="12.5546875" style="9" customWidth="1"/>
    <col min="4617" max="4617" width="13.33203125" style="9" customWidth="1"/>
    <col min="4618" max="4866" width="9.109375" style="9"/>
    <col min="4867" max="4867" width="16.5546875" style="9" customWidth="1"/>
    <col min="4868" max="4868" width="17" style="9" customWidth="1"/>
    <col min="4869" max="4869" width="25.6640625" style="9" customWidth="1"/>
    <col min="4870" max="4870" width="11.88671875" style="9" customWidth="1"/>
    <col min="4871" max="4871" width="9.109375" style="9"/>
    <col min="4872" max="4872" width="12.5546875" style="9" customWidth="1"/>
    <col min="4873" max="4873" width="13.33203125" style="9" customWidth="1"/>
    <col min="4874" max="5122" width="9.109375" style="9"/>
    <col min="5123" max="5123" width="16.5546875" style="9" customWidth="1"/>
    <col min="5124" max="5124" width="17" style="9" customWidth="1"/>
    <col min="5125" max="5125" width="25.6640625" style="9" customWidth="1"/>
    <col min="5126" max="5126" width="11.88671875" style="9" customWidth="1"/>
    <col min="5127" max="5127" width="9.109375" style="9"/>
    <col min="5128" max="5128" width="12.5546875" style="9" customWidth="1"/>
    <col min="5129" max="5129" width="13.33203125" style="9" customWidth="1"/>
    <col min="5130" max="5378" width="9.109375" style="9"/>
    <col min="5379" max="5379" width="16.5546875" style="9" customWidth="1"/>
    <col min="5380" max="5380" width="17" style="9" customWidth="1"/>
    <col min="5381" max="5381" width="25.6640625" style="9" customWidth="1"/>
    <col min="5382" max="5382" width="11.88671875" style="9" customWidth="1"/>
    <col min="5383" max="5383" width="9.109375" style="9"/>
    <col min="5384" max="5384" width="12.5546875" style="9" customWidth="1"/>
    <col min="5385" max="5385" width="13.33203125" style="9" customWidth="1"/>
    <col min="5386" max="5634" width="9.109375" style="9"/>
    <col min="5635" max="5635" width="16.5546875" style="9" customWidth="1"/>
    <col min="5636" max="5636" width="17" style="9" customWidth="1"/>
    <col min="5637" max="5637" width="25.6640625" style="9" customWidth="1"/>
    <col min="5638" max="5638" width="11.88671875" style="9" customWidth="1"/>
    <col min="5639" max="5639" width="9.109375" style="9"/>
    <col min="5640" max="5640" width="12.5546875" style="9" customWidth="1"/>
    <col min="5641" max="5641" width="13.33203125" style="9" customWidth="1"/>
    <col min="5642" max="5890" width="9.109375" style="9"/>
    <col min="5891" max="5891" width="16.5546875" style="9" customWidth="1"/>
    <col min="5892" max="5892" width="17" style="9" customWidth="1"/>
    <col min="5893" max="5893" width="25.6640625" style="9" customWidth="1"/>
    <col min="5894" max="5894" width="11.88671875" style="9" customWidth="1"/>
    <col min="5895" max="5895" width="9.109375" style="9"/>
    <col min="5896" max="5896" width="12.5546875" style="9" customWidth="1"/>
    <col min="5897" max="5897" width="13.33203125" style="9" customWidth="1"/>
    <col min="5898" max="6146" width="9.109375" style="9"/>
    <col min="6147" max="6147" width="16.5546875" style="9" customWidth="1"/>
    <col min="6148" max="6148" width="17" style="9" customWidth="1"/>
    <col min="6149" max="6149" width="25.6640625" style="9" customWidth="1"/>
    <col min="6150" max="6150" width="11.88671875" style="9" customWidth="1"/>
    <col min="6151" max="6151" width="9.109375" style="9"/>
    <col min="6152" max="6152" width="12.5546875" style="9" customWidth="1"/>
    <col min="6153" max="6153" width="13.33203125" style="9" customWidth="1"/>
    <col min="6154" max="6402" width="9.109375" style="9"/>
    <col min="6403" max="6403" width="16.5546875" style="9" customWidth="1"/>
    <col min="6404" max="6404" width="17" style="9" customWidth="1"/>
    <col min="6405" max="6405" width="25.6640625" style="9" customWidth="1"/>
    <col min="6406" max="6406" width="11.88671875" style="9" customWidth="1"/>
    <col min="6407" max="6407" width="9.109375" style="9"/>
    <col min="6408" max="6408" width="12.5546875" style="9" customWidth="1"/>
    <col min="6409" max="6409" width="13.33203125" style="9" customWidth="1"/>
    <col min="6410" max="6658" width="9.109375" style="9"/>
    <col min="6659" max="6659" width="16.5546875" style="9" customWidth="1"/>
    <col min="6660" max="6660" width="17" style="9" customWidth="1"/>
    <col min="6661" max="6661" width="25.6640625" style="9" customWidth="1"/>
    <col min="6662" max="6662" width="11.88671875" style="9" customWidth="1"/>
    <col min="6663" max="6663" width="9.109375" style="9"/>
    <col min="6664" max="6664" width="12.5546875" style="9" customWidth="1"/>
    <col min="6665" max="6665" width="13.33203125" style="9" customWidth="1"/>
    <col min="6666" max="6914" width="9.109375" style="9"/>
    <col min="6915" max="6915" width="16.5546875" style="9" customWidth="1"/>
    <col min="6916" max="6916" width="17" style="9" customWidth="1"/>
    <col min="6917" max="6917" width="25.6640625" style="9" customWidth="1"/>
    <col min="6918" max="6918" width="11.88671875" style="9" customWidth="1"/>
    <col min="6919" max="6919" width="9.109375" style="9"/>
    <col min="6920" max="6920" width="12.5546875" style="9" customWidth="1"/>
    <col min="6921" max="6921" width="13.33203125" style="9" customWidth="1"/>
    <col min="6922" max="7170" width="9.109375" style="9"/>
    <col min="7171" max="7171" width="16.5546875" style="9" customWidth="1"/>
    <col min="7172" max="7172" width="17" style="9" customWidth="1"/>
    <col min="7173" max="7173" width="25.6640625" style="9" customWidth="1"/>
    <col min="7174" max="7174" width="11.88671875" style="9" customWidth="1"/>
    <col min="7175" max="7175" width="9.109375" style="9"/>
    <col min="7176" max="7176" width="12.5546875" style="9" customWidth="1"/>
    <col min="7177" max="7177" width="13.33203125" style="9" customWidth="1"/>
    <col min="7178" max="7426" width="9.109375" style="9"/>
    <col min="7427" max="7427" width="16.5546875" style="9" customWidth="1"/>
    <col min="7428" max="7428" width="17" style="9" customWidth="1"/>
    <col min="7429" max="7429" width="25.6640625" style="9" customWidth="1"/>
    <col min="7430" max="7430" width="11.88671875" style="9" customWidth="1"/>
    <col min="7431" max="7431" width="9.109375" style="9"/>
    <col min="7432" max="7432" width="12.5546875" style="9" customWidth="1"/>
    <col min="7433" max="7433" width="13.33203125" style="9" customWidth="1"/>
    <col min="7434" max="7682" width="9.109375" style="9"/>
    <col min="7683" max="7683" width="16.5546875" style="9" customWidth="1"/>
    <col min="7684" max="7684" width="17" style="9" customWidth="1"/>
    <col min="7685" max="7685" width="25.6640625" style="9" customWidth="1"/>
    <col min="7686" max="7686" width="11.88671875" style="9" customWidth="1"/>
    <col min="7687" max="7687" width="9.109375" style="9"/>
    <col min="7688" max="7688" width="12.5546875" style="9" customWidth="1"/>
    <col min="7689" max="7689" width="13.33203125" style="9" customWidth="1"/>
    <col min="7690" max="7938" width="9.109375" style="9"/>
    <col min="7939" max="7939" width="16.5546875" style="9" customWidth="1"/>
    <col min="7940" max="7940" width="17" style="9" customWidth="1"/>
    <col min="7941" max="7941" width="25.6640625" style="9" customWidth="1"/>
    <col min="7942" max="7942" width="11.88671875" style="9" customWidth="1"/>
    <col min="7943" max="7943" width="9.109375" style="9"/>
    <col min="7944" max="7944" width="12.5546875" style="9" customWidth="1"/>
    <col min="7945" max="7945" width="13.33203125" style="9" customWidth="1"/>
    <col min="7946" max="8194" width="9.109375" style="9"/>
    <col min="8195" max="8195" width="16.5546875" style="9" customWidth="1"/>
    <col min="8196" max="8196" width="17" style="9" customWidth="1"/>
    <col min="8197" max="8197" width="25.6640625" style="9" customWidth="1"/>
    <col min="8198" max="8198" width="11.88671875" style="9" customWidth="1"/>
    <col min="8199" max="8199" width="9.109375" style="9"/>
    <col min="8200" max="8200" width="12.5546875" style="9" customWidth="1"/>
    <col min="8201" max="8201" width="13.33203125" style="9" customWidth="1"/>
    <col min="8202" max="8450" width="9.109375" style="9"/>
    <col min="8451" max="8451" width="16.5546875" style="9" customWidth="1"/>
    <col min="8452" max="8452" width="17" style="9" customWidth="1"/>
    <col min="8453" max="8453" width="25.6640625" style="9" customWidth="1"/>
    <col min="8454" max="8454" width="11.88671875" style="9" customWidth="1"/>
    <col min="8455" max="8455" width="9.109375" style="9"/>
    <col min="8456" max="8456" width="12.5546875" style="9" customWidth="1"/>
    <col min="8457" max="8457" width="13.33203125" style="9" customWidth="1"/>
    <col min="8458" max="8706" width="9.109375" style="9"/>
    <col min="8707" max="8707" width="16.5546875" style="9" customWidth="1"/>
    <col min="8708" max="8708" width="17" style="9" customWidth="1"/>
    <col min="8709" max="8709" width="25.6640625" style="9" customWidth="1"/>
    <col min="8710" max="8710" width="11.88671875" style="9" customWidth="1"/>
    <col min="8711" max="8711" width="9.109375" style="9"/>
    <col min="8712" max="8712" width="12.5546875" style="9" customWidth="1"/>
    <col min="8713" max="8713" width="13.33203125" style="9" customWidth="1"/>
    <col min="8714" max="8962" width="9.109375" style="9"/>
    <col min="8963" max="8963" width="16.5546875" style="9" customWidth="1"/>
    <col min="8964" max="8964" width="17" style="9" customWidth="1"/>
    <col min="8965" max="8965" width="25.6640625" style="9" customWidth="1"/>
    <col min="8966" max="8966" width="11.88671875" style="9" customWidth="1"/>
    <col min="8967" max="8967" width="9.109375" style="9"/>
    <col min="8968" max="8968" width="12.5546875" style="9" customWidth="1"/>
    <col min="8969" max="8969" width="13.33203125" style="9" customWidth="1"/>
    <col min="8970" max="9218" width="9.109375" style="9"/>
    <col min="9219" max="9219" width="16.5546875" style="9" customWidth="1"/>
    <col min="9220" max="9220" width="17" style="9" customWidth="1"/>
    <col min="9221" max="9221" width="25.6640625" style="9" customWidth="1"/>
    <col min="9222" max="9222" width="11.88671875" style="9" customWidth="1"/>
    <col min="9223" max="9223" width="9.109375" style="9"/>
    <col min="9224" max="9224" width="12.5546875" style="9" customWidth="1"/>
    <col min="9225" max="9225" width="13.33203125" style="9" customWidth="1"/>
    <col min="9226" max="9474" width="9.109375" style="9"/>
    <col min="9475" max="9475" width="16.5546875" style="9" customWidth="1"/>
    <col min="9476" max="9476" width="17" style="9" customWidth="1"/>
    <col min="9477" max="9477" width="25.6640625" style="9" customWidth="1"/>
    <col min="9478" max="9478" width="11.88671875" style="9" customWidth="1"/>
    <col min="9479" max="9479" width="9.109375" style="9"/>
    <col min="9480" max="9480" width="12.5546875" style="9" customWidth="1"/>
    <col min="9481" max="9481" width="13.33203125" style="9" customWidth="1"/>
    <col min="9482" max="9730" width="9.109375" style="9"/>
    <col min="9731" max="9731" width="16.5546875" style="9" customWidth="1"/>
    <col min="9732" max="9732" width="17" style="9" customWidth="1"/>
    <col min="9733" max="9733" width="25.6640625" style="9" customWidth="1"/>
    <col min="9734" max="9734" width="11.88671875" style="9" customWidth="1"/>
    <col min="9735" max="9735" width="9.109375" style="9"/>
    <col min="9736" max="9736" width="12.5546875" style="9" customWidth="1"/>
    <col min="9737" max="9737" width="13.33203125" style="9" customWidth="1"/>
    <col min="9738" max="9986" width="9.109375" style="9"/>
    <col min="9987" max="9987" width="16.5546875" style="9" customWidth="1"/>
    <col min="9988" max="9988" width="17" style="9" customWidth="1"/>
    <col min="9989" max="9989" width="25.6640625" style="9" customWidth="1"/>
    <col min="9990" max="9990" width="11.88671875" style="9" customWidth="1"/>
    <col min="9991" max="9991" width="9.109375" style="9"/>
    <col min="9992" max="9992" width="12.5546875" style="9" customWidth="1"/>
    <col min="9993" max="9993" width="13.33203125" style="9" customWidth="1"/>
    <col min="9994" max="10242" width="9.109375" style="9"/>
    <col min="10243" max="10243" width="16.5546875" style="9" customWidth="1"/>
    <col min="10244" max="10244" width="17" style="9" customWidth="1"/>
    <col min="10245" max="10245" width="25.6640625" style="9" customWidth="1"/>
    <col min="10246" max="10246" width="11.88671875" style="9" customWidth="1"/>
    <col min="10247" max="10247" width="9.109375" style="9"/>
    <col min="10248" max="10248" width="12.5546875" style="9" customWidth="1"/>
    <col min="10249" max="10249" width="13.33203125" style="9" customWidth="1"/>
    <col min="10250" max="10498" width="9.109375" style="9"/>
    <col min="10499" max="10499" width="16.5546875" style="9" customWidth="1"/>
    <col min="10500" max="10500" width="17" style="9" customWidth="1"/>
    <col min="10501" max="10501" width="25.6640625" style="9" customWidth="1"/>
    <col min="10502" max="10502" width="11.88671875" style="9" customWidth="1"/>
    <col min="10503" max="10503" width="9.109375" style="9"/>
    <col min="10504" max="10504" width="12.5546875" style="9" customWidth="1"/>
    <col min="10505" max="10505" width="13.33203125" style="9" customWidth="1"/>
    <col min="10506" max="10754" width="9.109375" style="9"/>
    <col min="10755" max="10755" width="16.5546875" style="9" customWidth="1"/>
    <col min="10756" max="10756" width="17" style="9" customWidth="1"/>
    <col min="10757" max="10757" width="25.6640625" style="9" customWidth="1"/>
    <col min="10758" max="10758" width="11.88671875" style="9" customWidth="1"/>
    <col min="10759" max="10759" width="9.109375" style="9"/>
    <col min="10760" max="10760" width="12.5546875" style="9" customWidth="1"/>
    <col min="10761" max="10761" width="13.33203125" style="9" customWidth="1"/>
    <col min="10762" max="11010" width="9.109375" style="9"/>
    <col min="11011" max="11011" width="16.5546875" style="9" customWidth="1"/>
    <col min="11012" max="11012" width="17" style="9" customWidth="1"/>
    <col min="11013" max="11013" width="25.6640625" style="9" customWidth="1"/>
    <col min="11014" max="11014" width="11.88671875" style="9" customWidth="1"/>
    <col min="11015" max="11015" width="9.109375" style="9"/>
    <col min="11016" max="11016" width="12.5546875" style="9" customWidth="1"/>
    <col min="11017" max="11017" width="13.33203125" style="9" customWidth="1"/>
    <col min="11018" max="11266" width="9.109375" style="9"/>
    <col min="11267" max="11267" width="16.5546875" style="9" customWidth="1"/>
    <col min="11268" max="11268" width="17" style="9" customWidth="1"/>
    <col min="11269" max="11269" width="25.6640625" style="9" customWidth="1"/>
    <col min="11270" max="11270" width="11.88671875" style="9" customWidth="1"/>
    <col min="11271" max="11271" width="9.109375" style="9"/>
    <col min="11272" max="11272" width="12.5546875" style="9" customWidth="1"/>
    <col min="11273" max="11273" width="13.33203125" style="9" customWidth="1"/>
    <col min="11274" max="11522" width="9.109375" style="9"/>
    <col min="11523" max="11523" width="16.5546875" style="9" customWidth="1"/>
    <col min="11524" max="11524" width="17" style="9" customWidth="1"/>
    <col min="11525" max="11525" width="25.6640625" style="9" customWidth="1"/>
    <col min="11526" max="11526" width="11.88671875" style="9" customWidth="1"/>
    <col min="11527" max="11527" width="9.109375" style="9"/>
    <col min="11528" max="11528" width="12.5546875" style="9" customWidth="1"/>
    <col min="11529" max="11529" width="13.33203125" style="9" customWidth="1"/>
    <col min="11530" max="11778" width="9.109375" style="9"/>
    <col min="11779" max="11779" width="16.5546875" style="9" customWidth="1"/>
    <col min="11780" max="11780" width="17" style="9" customWidth="1"/>
    <col min="11781" max="11781" width="25.6640625" style="9" customWidth="1"/>
    <col min="11782" max="11782" width="11.88671875" style="9" customWidth="1"/>
    <col min="11783" max="11783" width="9.109375" style="9"/>
    <col min="11784" max="11784" width="12.5546875" style="9" customWidth="1"/>
    <col min="11785" max="11785" width="13.33203125" style="9" customWidth="1"/>
    <col min="11786" max="12034" width="9.109375" style="9"/>
    <col min="12035" max="12035" width="16.5546875" style="9" customWidth="1"/>
    <col min="12036" max="12036" width="17" style="9" customWidth="1"/>
    <col min="12037" max="12037" width="25.6640625" style="9" customWidth="1"/>
    <col min="12038" max="12038" width="11.88671875" style="9" customWidth="1"/>
    <col min="12039" max="12039" width="9.109375" style="9"/>
    <col min="12040" max="12040" width="12.5546875" style="9" customWidth="1"/>
    <col min="12041" max="12041" width="13.33203125" style="9" customWidth="1"/>
    <col min="12042" max="12290" width="9.109375" style="9"/>
    <col min="12291" max="12291" width="16.5546875" style="9" customWidth="1"/>
    <col min="12292" max="12292" width="17" style="9" customWidth="1"/>
    <col min="12293" max="12293" width="25.6640625" style="9" customWidth="1"/>
    <col min="12294" max="12294" width="11.88671875" style="9" customWidth="1"/>
    <col min="12295" max="12295" width="9.109375" style="9"/>
    <col min="12296" max="12296" width="12.5546875" style="9" customWidth="1"/>
    <col min="12297" max="12297" width="13.33203125" style="9" customWidth="1"/>
    <col min="12298" max="12546" width="9.109375" style="9"/>
    <col min="12547" max="12547" width="16.5546875" style="9" customWidth="1"/>
    <col min="12548" max="12548" width="17" style="9" customWidth="1"/>
    <col min="12549" max="12549" width="25.6640625" style="9" customWidth="1"/>
    <col min="12550" max="12550" width="11.88671875" style="9" customWidth="1"/>
    <col min="12551" max="12551" width="9.109375" style="9"/>
    <col min="12552" max="12552" width="12.5546875" style="9" customWidth="1"/>
    <col min="12553" max="12553" width="13.33203125" style="9" customWidth="1"/>
    <col min="12554" max="12802" width="9.109375" style="9"/>
    <col min="12803" max="12803" width="16.5546875" style="9" customWidth="1"/>
    <col min="12804" max="12804" width="17" style="9" customWidth="1"/>
    <col min="12805" max="12805" width="25.6640625" style="9" customWidth="1"/>
    <col min="12806" max="12806" width="11.88671875" style="9" customWidth="1"/>
    <col min="12807" max="12807" width="9.109375" style="9"/>
    <col min="12808" max="12808" width="12.5546875" style="9" customWidth="1"/>
    <col min="12809" max="12809" width="13.33203125" style="9" customWidth="1"/>
    <col min="12810" max="13058" width="9.109375" style="9"/>
    <col min="13059" max="13059" width="16.5546875" style="9" customWidth="1"/>
    <col min="13060" max="13060" width="17" style="9" customWidth="1"/>
    <col min="13061" max="13061" width="25.6640625" style="9" customWidth="1"/>
    <col min="13062" max="13062" width="11.88671875" style="9" customWidth="1"/>
    <col min="13063" max="13063" width="9.109375" style="9"/>
    <col min="13064" max="13064" width="12.5546875" style="9" customWidth="1"/>
    <col min="13065" max="13065" width="13.33203125" style="9" customWidth="1"/>
    <col min="13066" max="13314" width="9.109375" style="9"/>
    <col min="13315" max="13315" width="16.5546875" style="9" customWidth="1"/>
    <col min="13316" max="13316" width="17" style="9" customWidth="1"/>
    <col min="13317" max="13317" width="25.6640625" style="9" customWidth="1"/>
    <col min="13318" max="13318" width="11.88671875" style="9" customWidth="1"/>
    <col min="13319" max="13319" width="9.109375" style="9"/>
    <col min="13320" max="13320" width="12.5546875" style="9" customWidth="1"/>
    <col min="13321" max="13321" width="13.33203125" style="9" customWidth="1"/>
    <col min="13322" max="13570" width="9.109375" style="9"/>
    <col min="13571" max="13571" width="16.5546875" style="9" customWidth="1"/>
    <col min="13572" max="13572" width="17" style="9" customWidth="1"/>
    <col min="13573" max="13573" width="25.6640625" style="9" customWidth="1"/>
    <col min="13574" max="13574" width="11.88671875" style="9" customWidth="1"/>
    <col min="13575" max="13575" width="9.109375" style="9"/>
    <col min="13576" max="13576" width="12.5546875" style="9" customWidth="1"/>
    <col min="13577" max="13577" width="13.33203125" style="9" customWidth="1"/>
    <col min="13578" max="13826" width="9.109375" style="9"/>
    <col min="13827" max="13827" width="16.5546875" style="9" customWidth="1"/>
    <col min="13828" max="13828" width="17" style="9" customWidth="1"/>
    <col min="13829" max="13829" width="25.6640625" style="9" customWidth="1"/>
    <col min="13830" max="13830" width="11.88671875" style="9" customWidth="1"/>
    <col min="13831" max="13831" width="9.109375" style="9"/>
    <col min="13832" max="13832" width="12.5546875" style="9" customWidth="1"/>
    <col min="13833" max="13833" width="13.33203125" style="9" customWidth="1"/>
    <col min="13834" max="14082" width="9.109375" style="9"/>
    <col min="14083" max="14083" width="16.5546875" style="9" customWidth="1"/>
    <col min="14084" max="14084" width="17" style="9" customWidth="1"/>
    <col min="14085" max="14085" width="25.6640625" style="9" customWidth="1"/>
    <col min="14086" max="14086" width="11.88671875" style="9" customWidth="1"/>
    <col min="14087" max="14087" width="9.109375" style="9"/>
    <col min="14088" max="14088" width="12.5546875" style="9" customWidth="1"/>
    <col min="14089" max="14089" width="13.33203125" style="9" customWidth="1"/>
    <col min="14090" max="14338" width="9.109375" style="9"/>
    <col min="14339" max="14339" width="16.5546875" style="9" customWidth="1"/>
    <col min="14340" max="14340" width="17" style="9" customWidth="1"/>
    <col min="14341" max="14341" width="25.6640625" style="9" customWidth="1"/>
    <col min="14342" max="14342" width="11.88671875" style="9" customWidth="1"/>
    <col min="14343" max="14343" width="9.109375" style="9"/>
    <col min="14344" max="14344" width="12.5546875" style="9" customWidth="1"/>
    <col min="14345" max="14345" width="13.33203125" style="9" customWidth="1"/>
    <col min="14346" max="14594" width="9.109375" style="9"/>
    <col min="14595" max="14595" width="16.5546875" style="9" customWidth="1"/>
    <col min="14596" max="14596" width="17" style="9" customWidth="1"/>
    <col min="14597" max="14597" width="25.6640625" style="9" customWidth="1"/>
    <col min="14598" max="14598" width="11.88671875" style="9" customWidth="1"/>
    <col min="14599" max="14599" width="9.109375" style="9"/>
    <col min="14600" max="14600" width="12.5546875" style="9" customWidth="1"/>
    <col min="14601" max="14601" width="13.33203125" style="9" customWidth="1"/>
    <col min="14602" max="14850" width="9.109375" style="9"/>
    <col min="14851" max="14851" width="16.5546875" style="9" customWidth="1"/>
    <col min="14852" max="14852" width="17" style="9" customWidth="1"/>
    <col min="14853" max="14853" width="25.6640625" style="9" customWidth="1"/>
    <col min="14854" max="14854" width="11.88671875" style="9" customWidth="1"/>
    <col min="14855" max="14855" width="9.109375" style="9"/>
    <col min="14856" max="14856" width="12.5546875" style="9" customWidth="1"/>
    <col min="14857" max="14857" width="13.33203125" style="9" customWidth="1"/>
    <col min="14858" max="15106" width="9.109375" style="9"/>
    <col min="15107" max="15107" width="16.5546875" style="9" customWidth="1"/>
    <col min="15108" max="15108" width="17" style="9" customWidth="1"/>
    <col min="15109" max="15109" width="25.6640625" style="9" customWidth="1"/>
    <col min="15110" max="15110" width="11.88671875" style="9" customWidth="1"/>
    <col min="15111" max="15111" width="9.109375" style="9"/>
    <col min="15112" max="15112" width="12.5546875" style="9" customWidth="1"/>
    <col min="15113" max="15113" width="13.33203125" style="9" customWidth="1"/>
    <col min="15114" max="15362" width="9.109375" style="9"/>
    <col min="15363" max="15363" width="16.5546875" style="9" customWidth="1"/>
    <col min="15364" max="15364" width="17" style="9" customWidth="1"/>
    <col min="15365" max="15365" width="25.6640625" style="9" customWidth="1"/>
    <col min="15366" max="15366" width="11.88671875" style="9" customWidth="1"/>
    <col min="15367" max="15367" width="9.109375" style="9"/>
    <col min="15368" max="15368" width="12.5546875" style="9" customWidth="1"/>
    <col min="15369" max="15369" width="13.33203125" style="9" customWidth="1"/>
    <col min="15370" max="15618" width="9.109375" style="9"/>
    <col min="15619" max="15619" width="16.5546875" style="9" customWidth="1"/>
    <col min="15620" max="15620" width="17" style="9" customWidth="1"/>
    <col min="15621" max="15621" width="25.6640625" style="9" customWidth="1"/>
    <col min="15622" max="15622" width="11.88671875" style="9" customWidth="1"/>
    <col min="15623" max="15623" width="9.109375" style="9"/>
    <col min="15624" max="15624" width="12.5546875" style="9" customWidth="1"/>
    <col min="15625" max="15625" width="13.33203125" style="9" customWidth="1"/>
    <col min="15626" max="15874" width="9.109375" style="9"/>
    <col min="15875" max="15875" width="16.5546875" style="9" customWidth="1"/>
    <col min="15876" max="15876" width="17" style="9" customWidth="1"/>
    <col min="15877" max="15877" width="25.6640625" style="9" customWidth="1"/>
    <col min="15878" max="15878" width="11.88671875" style="9" customWidth="1"/>
    <col min="15879" max="15879" width="9.109375" style="9"/>
    <col min="15880" max="15880" width="12.5546875" style="9" customWidth="1"/>
    <col min="15881" max="15881" width="13.33203125" style="9" customWidth="1"/>
    <col min="15882" max="16130" width="9.109375" style="9"/>
    <col min="16131" max="16131" width="16.5546875" style="9" customWidth="1"/>
    <col min="16132" max="16132" width="17" style="9" customWidth="1"/>
    <col min="16133" max="16133" width="25.6640625" style="9" customWidth="1"/>
    <col min="16134" max="16134" width="11.88671875" style="9" customWidth="1"/>
    <col min="16135" max="16135" width="9.109375" style="9"/>
    <col min="16136" max="16136" width="12.5546875" style="9" customWidth="1"/>
    <col min="16137" max="16137" width="13.33203125" style="9" customWidth="1"/>
    <col min="16138" max="16384" width="9.109375" style="9"/>
  </cols>
  <sheetData>
    <row r="1" spans="1:28" ht="13.8" thickBot="1">
      <c r="A1" s="1" t="s">
        <v>0</v>
      </c>
      <c r="B1" s="2">
        <v>350</v>
      </c>
      <c r="C1" s="3" t="s">
        <v>1</v>
      </c>
      <c r="D1" s="1" t="s">
        <v>2</v>
      </c>
      <c r="E1" s="4">
        <v>350</v>
      </c>
      <c r="F1" s="1" t="s">
        <v>1</v>
      </c>
      <c r="G1" s="5" t="s">
        <v>3</v>
      </c>
      <c r="H1" s="6">
        <v>0.14000000000000001</v>
      </c>
      <c r="I1" s="7"/>
      <c r="J1" s="7"/>
      <c r="K1" s="7"/>
      <c r="L1" s="7"/>
      <c r="M1" s="7"/>
      <c r="N1" s="8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>
      <c r="A2" s="10" t="s">
        <v>4</v>
      </c>
      <c r="B2" s="11">
        <f>PI()*B1^2/10000</f>
        <v>38.484510006474963</v>
      </c>
      <c r="C2" s="12" t="s">
        <v>5</v>
      </c>
      <c r="D2" s="10" t="s">
        <v>6</v>
      </c>
      <c r="E2" s="13">
        <v>4</v>
      </c>
      <c r="F2" s="10" t="s">
        <v>1</v>
      </c>
      <c r="G2" s="10" t="s">
        <v>7</v>
      </c>
      <c r="H2" s="14">
        <f>B6*(1-H1)</f>
        <v>14.742857142857142</v>
      </c>
      <c r="I2" s="1" t="s">
        <v>8</v>
      </c>
      <c r="J2" s="7"/>
      <c r="K2" s="7"/>
      <c r="L2" s="7"/>
      <c r="M2" s="7"/>
      <c r="N2" s="8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ht="13.8" thickBot="1">
      <c r="A3" s="10" t="s">
        <v>9</v>
      </c>
      <c r="B3" s="15">
        <v>21</v>
      </c>
      <c r="C3" s="12" t="s">
        <v>10</v>
      </c>
      <c r="D3" s="10" t="s">
        <v>11</v>
      </c>
      <c r="E3" s="13">
        <v>21</v>
      </c>
      <c r="F3" s="10" t="s">
        <v>12</v>
      </c>
      <c r="G3" s="10" t="s">
        <v>13</v>
      </c>
      <c r="H3" s="16">
        <f>ia*E3/24</f>
        <v>12.899999999999999</v>
      </c>
      <c r="I3" s="10" t="s">
        <v>14</v>
      </c>
      <c r="J3" s="7"/>
      <c r="K3" s="7"/>
      <c r="L3" s="7"/>
      <c r="M3" s="7"/>
      <c r="N3" s="8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ht="13.8" thickBot="1">
      <c r="A4" s="10" t="s">
        <v>15</v>
      </c>
      <c r="B4" s="17">
        <v>15</v>
      </c>
      <c r="C4" s="12" t="s">
        <v>8</v>
      </c>
      <c r="D4" s="12" t="s">
        <v>16</v>
      </c>
      <c r="E4" s="18">
        <f>E3*E2/(2*PI()*E1)*60</f>
        <v>2.2918311805232929</v>
      </c>
      <c r="F4" s="19" t="s">
        <v>17</v>
      </c>
      <c r="G4" s="20" t="s">
        <v>18</v>
      </c>
      <c r="H4" s="21">
        <f>4/PI()*H3/Ta</f>
        <v>7.1666666666666652</v>
      </c>
      <c r="I4" s="20" t="s">
        <v>19</v>
      </c>
      <c r="J4" s="7"/>
      <c r="K4" s="7"/>
      <c r="L4" s="7"/>
      <c r="M4" s="7"/>
      <c r="N4" s="8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3.8" thickBot="1">
      <c r="A5" s="20" t="s">
        <v>20</v>
      </c>
      <c r="B5" s="22">
        <f>0.116*B2*B4/(1-(24-B3)/24)</f>
        <v>76.529197041447361</v>
      </c>
      <c r="C5" s="23" t="s">
        <v>21</v>
      </c>
      <c r="D5" s="23" t="s">
        <v>22</v>
      </c>
      <c r="E5" s="24">
        <v>2</v>
      </c>
      <c r="F5" s="19" t="s">
        <v>1</v>
      </c>
      <c r="G5" s="5" t="s">
        <v>23</v>
      </c>
      <c r="H5" s="25">
        <f>E1*E5*2 *B5/B1^2</f>
        <v>0.87461939475939843</v>
      </c>
      <c r="I5" s="20" t="s">
        <v>21</v>
      </c>
      <c r="J5" s="7"/>
      <c r="K5" s="7"/>
      <c r="L5" s="7"/>
      <c r="M5" s="7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t="13.8" thickBot="1">
      <c r="A6" s="20" t="s">
        <v>24</v>
      </c>
      <c r="B6" s="22">
        <f>B4*24/B3</f>
        <v>17.142857142857142</v>
      </c>
      <c r="C6" s="5" t="s">
        <v>8</v>
      </c>
      <c r="D6" s="7"/>
      <c r="E6" s="7"/>
      <c r="F6" s="7"/>
      <c r="G6" s="7"/>
      <c r="H6" s="7"/>
      <c r="I6" s="7"/>
      <c r="J6" s="26"/>
      <c r="K6" s="27" t="s">
        <v>25</v>
      </c>
      <c r="L6" s="28"/>
      <c r="M6" s="28"/>
      <c r="N6" s="26" t="s">
        <v>26</v>
      </c>
      <c r="O6" s="29"/>
      <c r="P6" s="30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3.5" customHeight="1" thickBot="1">
      <c r="A7" s="7"/>
      <c r="B7" s="7"/>
      <c r="C7" s="7"/>
      <c r="D7" s="7"/>
      <c r="E7" s="7"/>
      <c r="F7" s="7"/>
      <c r="G7" s="7"/>
      <c r="H7" s="7"/>
      <c r="I7" s="7"/>
      <c r="J7" s="5" t="s">
        <v>27</v>
      </c>
      <c r="K7" s="31" t="s">
        <v>27</v>
      </c>
      <c r="L7" s="1" t="s">
        <v>19</v>
      </c>
      <c r="M7" s="32" t="s">
        <v>28</v>
      </c>
      <c r="N7" s="33" t="s">
        <v>29</v>
      </c>
      <c r="O7" s="34" t="s">
        <v>29</v>
      </c>
      <c r="P7" s="35" t="s">
        <v>30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ht="16.2" thickBot="1">
      <c r="A8" s="5" t="s">
        <v>31</v>
      </c>
      <c r="B8" s="36">
        <v>2</v>
      </c>
      <c r="C8" s="5" t="s">
        <v>28</v>
      </c>
      <c r="D8" s="37" t="s">
        <v>32</v>
      </c>
      <c r="E8" s="7"/>
      <c r="F8" s="7"/>
      <c r="G8" s="5" t="s">
        <v>33</v>
      </c>
      <c r="H8" s="5"/>
      <c r="I8" s="5" t="s">
        <v>34</v>
      </c>
      <c r="J8" s="38">
        <v>2</v>
      </c>
      <c r="K8" s="39">
        <v>2</v>
      </c>
      <c r="L8" s="112"/>
      <c r="M8" s="40"/>
      <c r="N8" s="41">
        <f>SUM(N11:N50)</f>
        <v>7.7844961148246989</v>
      </c>
      <c r="O8" s="42">
        <f>SUM(O11:O50)</f>
        <v>5.1312632047658617</v>
      </c>
      <c r="P8" s="43">
        <f>O8+N8</f>
        <v>12.91575931959056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</row>
    <row r="9" spans="1:28" ht="16.2" thickBot="1">
      <c r="A9" s="44"/>
      <c r="B9" s="45" t="s">
        <v>35</v>
      </c>
      <c r="C9" s="46"/>
      <c r="D9" s="47">
        <v>40</v>
      </c>
      <c r="E9" s="7"/>
      <c r="F9" s="7"/>
      <c r="G9" s="25">
        <f>SUM(G11:G50)</f>
        <v>12.915759319590556</v>
      </c>
      <c r="H9" s="48" t="s">
        <v>29</v>
      </c>
      <c r="I9" s="49" t="s">
        <v>36</v>
      </c>
      <c r="J9" s="50">
        <f>Center_pivot_a(J8)</f>
        <v>0.27529999613761902</v>
      </c>
      <c r="K9" s="51">
        <f>Center_pivot_a(K8)</f>
        <v>0.27529999613761902</v>
      </c>
      <c r="L9" s="112"/>
      <c r="M9" s="52" t="s">
        <v>37</v>
      </c>
      <c r="N9" s="53" t="s">
        <v>38</v>
      </c>
      <c r="O9" s="54" t="s">
        <v>39</v>
      </c>
      <c r="P9" s="55" t="s">
        <v>40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ht="16.2" thickBot="1">
      <c r="A10" s="56" t="s">
        <v>41</v>
      </c>
      <c r="B10" s="57">
        <v>3</v>
      </c>
      <c r="C10" s="26" t="s">
        <v>42</v>
      </c>
      <c r="D10" s="58" t="s">
        <v>43</v>
      </c>
      <c r="E10" s="59" t="s">
        <v>44</v>
      </c>
      <c r="F10" s="59" t="s">
        <v>45</v>
      </c>
      <c r="G10" s="60" t="s">
        <v>46</v>
      </c>
      <c r="H10" s="61" t="s">
        <v>47</v>
      </c>
      <c r="I10" s="62" t="s">
        <v>48</v>
      </c>
      <c r="J10" s="63">
        <f>Center_pivot_b(J8)</f>
        <v>0.80800002813339233</v>
      </c>
      <c r="K10" s="64">
        <f>Center_pivot_b(K8)</f>
        <v>0.80800002813339233</v>
      </c>
      <c r="L10" s="113"/>
      <c r="M10" s="52" t="s">
        <v>28</v>
      </c>
      <c r="N10" s="33" t="s">
        <v>28</v>
      </c>
      <c r="O10" s="65" t="s">
        <v>28</v>
      </c>
      <c r="P10" s="55" t="s">
        <v>49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</row>
    <row r="11" spans="1:28" ht="15.6">
      <c r="A11" s="66" t="s">
        <v>50</v>
      </c>
      <c r="B11" s="67">
        <f>Center_pivot_a(B10)</f>
        <v>0.36500000953674316</v>
      </c>
      <c r="C11" s="68" t="s">
        <v>51</v>
      </c>
      <c r="D11" s="36">
        <f>P11/$D$9</f>
        <v>2.5000000000000001E-2</v>
      </c>
      <c r="E11" s="69">
        <f>Ta*D11/2</f>
        <v>2.8647889756541162E-2</v>
      </c>
      <c r="F11" s="70">
        <f>SQRT(didtmax^2*(1-(E11-Ta/2)^2/(Ta/2)^2))</f>
        <v>1.5924681664357085</v>
      </c>
      <c r="G11" s="70">
        <f>F11*Ta/$D$9</f>
        <v>9.1241704945702842E-2</v>
      </c>
      <c r="H11" s="71">
        <f t="shared" ref="H11:H47" si="0">F11*6</f>
        <v>9.5548089986142521</v>
      </c>
      <c r="I11" s="72"/>
      <c r="J11" s="73">
        <f>$J$10*$J$9*60*($E11)^($K$10-1)</f>
        <v>26.400186927432081</v>
      </c>
      <c r="K11" s="74">
        <f>$K$10*$K$9*60*($E11)^($K$10-1)</f>
        <v>26.400186927432081</v>
      </c>
      <c r="L11" s="83">
        <f>K11*10/(60)</f>
        <v>4.4000311545720141</v>
      </c>
      <c r="M11" s="74">
        <f t="shared" ref="M11:M50" si="1">L11*Ta/$D$9</f>
        <v>0.25210321488305121</v>
      </c>
      <c r="N11" s="74">
        <f>IF(G11&gt;M11,G11-M11,0)</f>
        <v>0</v>
      </c>
      <c r="O11" s="75">
        <f>IF(G11&gt;M11,M11,G11)</f>
        <v>9.1241704945702842E-2</v>
      </c>
      <c r="P11" s="76">
        <v>1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</row>
    <row r="12" spans="1:28" ht="16.2" thickBot="1">
      <c r="A12" s="66" t="s">
        <v>52</v>
      </c>
      <c r="B12" s="67">
        <f>Center_pivot_b(B10)</f>
        <v>0.81599998474121094</v>
      </c>
      <c r="C12" s="77" t="s">
        <v>53</v>
      </c>
      <c r="D12" s="78">
        <f>P12/$D$9</f>
        <v>0.05</v>
      </c>
      <c r="E12" s="79">
        <f>$E$4*(D12+D11)/2</f>
        <v>8.5943669269623504E-2</v>
      </c>
      <c r="F12" s="80">
        <f>SQRT(didtmax^2*(1-(E12-Ta/2)^2/(Ta/2)^2))</f>
        <v>2.7230975775147446</v>
      </c>
      <c r="G12" s="80">
        <f>F12*Ta/$D$9</f>
        <v>0.15602199839389341</v>
      </c>
      <c r="H12" s="81">
        <f t="shared" si="0"/>
        <v>16.338585465088467</v>
      </c>
      <c r="I12" s="72"/>
      <c r="J12" s="82">
        <f t="shared" ref="J12:J50" si="2">$J$10*$J$9*60*($E12)^($K$10-1)</f>
        <v>21.379607821667882</v>
      </c>
      <c r="K12" s="83">
        <f t="shared" ref="K12:K50" si="3">$K$10*$K$9*60*($E12)^($K$10-1)</f>
        <v>21.379607821667882</v>
      </c>
      <c r="L12" s="83">
        <f t="shared" ref="L12:L47" si="4">K12*10/(60)</f>
        <v>3.5632679702779808</v>
      </c>
      <c r="M12" s="83">
        <f t="shared" si="1"/>
        <v>0.20416021597107559</v>
      </c>
      <c r="N12" s="83">
        <f>IF(G12&gt;M12,G12-M12,0)</f>
        <v>0</v>
      </c>
      <c r="O12" s="84">
        <f t="shared" ref="O12:O50" si="5">IF(G12&gt;M12,M12,G12)</f>
        <v>0.15602199839389341</v>
      </c>
      <c r="P12" s="85">
        <v>2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ht="13.8" thickBot="1">
      <c r="A13" s="66" t="s">
        <v>54</v>
      </c>
      <c r="B13" s="86" t="b">
        <v>1</v>
      </c>
      <c r="C13" s="44" t="s">
        <v>55</v>
      </c>
      <c r="D13" s="78">
        <f t="shared" ref="D13:D50" si="6">P13/$D$9</f>
        <v>7.4999999999999997E-2</v>
      </c>
      <c r="E13" s="79">
        <f t="shared" ref="E13:E50" si="7">$E$4*(D13+D12)/2</f>
        <v>0.14323944878270581</v>
      </c>
      <c r="F13" s="80">
        <f t="shared" ref="F13:F46" si="8">SQRT(didtmax^2*(1-(E13-Ta/2)^2/(Ta/2)^2))</f>
        <v>3.4695475809774763</v>
      </c>
      <c r="G13" s="80">
        <f t="shared" ref="G13:G50" si="9">F13*Ta/$D$9</f>
        <v>0.19879043320983364</v>
      </c>
      <c r="H13" s="81">
        <f t="shared" si="0"/>
        <v>20.817285485864858</v>
      </c>
      <c r="I13" s="72"/>
      <c r="J13" s="82">
        <f t="shared" si="2"/>
        <v>19.382276321278141</v>
      </c>
      <c r="K13" s="83">
        <f t="shared" si="3"/>
        <v>19.382276321278141</v>
      </c>
      <c r="L13" s="83">
        <f t="shared" si="4"/>
        <v>3.2303793868796902</v>
      </c>
      <c r="M13" s="83">
        <f t="shared" si="1"/>
        <v>0.18508710509426479</v>
      </c>
      <c r="N13" s="83">
        <f>IF(G13&gt;M13,G13-M13,0)</f>
        <v>1.3703328115568847E-2</v>
      </c>
      <c r="O13" s="84">
        <f t="shared" si="5"/>
        <v>0.18508710509426479</v>
      </c>
      <c r="P13" s="85">
        <v>3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</row>
    <row r="14" spans="1:28">
      <c r="A14" s="66" t="s">
        <v>56</v>
      </c>
      <c r="B14" s="87">
        <f>Center_pivot_runoff(B11, B12, E4, H3, B13, B8)</f>
        <v>3.5135655403137207</v>
      </c>
      <c r="C14" s="3" t="s">
        <v>28</v>
      </c>
      <c r="D14" s="78">
        <f t="shared" si="6"/>
        <v>0.1</v>
      </c>
      <c r="E14" s="79">
        <f t="shared" si="7"/>
        <v>0.20053522829578813</v>
      </c>
      <c r="F14" s="80">
        <f t="shared" si="8"/>
        <v>4.0501178823722039</v>
      </c>
      <c r="G14" s="80">
        <f t="shared" si="9"/>
        <v>0.23205466119038967</v>
      </c>
      <c r="H14" s="81">
        <f t="shared" si="0"/>
        <v>24.300707294233224</v>
      </c>
      <c r="I14" s="72"/>
      <c r="J14" s="82">
        <f t="shared" si="2"/>
        <v>18.169718629373616</v>
      </c>
      <c r="K14" s="83">
        <f t="shared" si="3"/>
        <v>18.169718629373616</v>
      </c>
      <c r="L14" s="83">
        <f t="shared" si="4"/>
        <v>3.0282864382289363</v>
      </c>
      <c r="M14" s="83">
        <f t="shared" si="1"/>
        <v>0.17350803206722251</v>
      </c>
      <c r="N14" s="83">
        <f>IF(G14&gt;M14,G14-M14,0)</f>
        <v>5.854662912316716E-2</v>
      </c>
      <c r="O14" s="84">
        <f t="shared" si="5"/>
        <v>0.17350803206722251</v>
      </c>
      <c r="P14" s="85">
        <v>4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>
      <c r="A15" s="66" t="s">
        <v>57</v>
      </c>
      <c r="B15" s="88">
        <f>Center_pivot_infiltration(B11, B12, E4, H3,B13, B8)</f>
        <v>9.4022054672241211</v>
      </c>
      <c r="C15" s="12" t="s">
        <v>28</v>
      </c>
      <c r="D15" s="78">
        <f t="shared" si="6"/>
        <v>0.125</v>
      </c>
      <c r="E15" s="79">
        <f t="shared" si="7"/>
        <v>0.25783100780887047</v>
      </c>
      <c r="F15" s="80">
        <f t="shared" si="8"/>
        <v>4.5290555030822919</v>
      </c>
      <c r="G15" s="80">
        <f t="shared" si="9"/>
        <v>0.25949576550711517</v>
      </c>
      <c r="H15" s="81">
        <f t="shared" si="0"/>
        <v>27.174333018493751</v>
      </c>
      <c r="I15" s="72"/>
      <c r="J15" s="82">
        <f t="shared" si="2"/>
        <v>17.313802809985745</v>
      </c>
      <c r="K15" s="83">
        <f t="shared" si="3"/>
        <v>17.313802809985745</v>
      </c>
      <c r="L15" s="83">
        <f t="shared" si="4"/>
        <v>2.8856338016642908</v>
      </c>
      <c r="M15" s="83">
        <f t="shared" si="1"/>
        <v>0.16533463805565474</v>
      </c>
      <c r="N15" s="83">
        <f t="shared" ref="N15:N49" si="10">IF(G15&gt;M15,G15-M15,0)</f>
        <v>9.4161127451460436E-2</v>
      </c>
      <c r="O15" s="84">
        <f t="shared" si="5"/>
        <v>0.16533463805565474</v>
      </c>
      <c r="P15" s="85">
        <v>5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1:28" ht="13.8" thickBot="1">
      <c r="A16" s="89" t="s">
        <v>58</v>
      </c>
      <c r="B16" s="90">
        <f xml:space="preserve"> Center_pivot_sprinkler_depth(Ta,H3)</f>
        <v>12.915772438049316</v>
      </c>
      <c r="C16" s="23" t="s">
        <v>28</v>
      </c>
      <c r="D16" s="78">
        <f t="shared" si="6"/>
        <v>0.15</v>
      </c>
      <c r="E16" s="79">
        <f t="shared" si="7"/>
        <v>0.31512678732195282</v>
      </c>
      <c r="F16" s="80">
        <f t="shared" si="8"/>
        <v>4.9360335375008662</v>
      </c>
      <c r="G16" s="80">
        <f t="shared" si="9"/>
        <v>0.28281388923382939</v>
      </c>
      <c r="H16" s="81">
        <f t="shared" si="0"/>
        <v>29.616201225005199</v>
      </c>
      <c r="I16" s="72"/>
      <c r="J16" s="82">
        <f t="shared" si="2"/>
        <v>16.659410730506135</v>
      </c>
      <c r="K16" s="83">
        <f t="shared" si="3"/>
        <v>16.659410730506135</v>
      </c>
      <c r="L16" s="83">
        <f t="shared" si="4"/>
        <v>2.7765684550843561</v>
      </c>
      <c r="M16" s="83">
        <f t="shared" si="1"/>
        <v>0.15908565400549288</v>
      </c>
      <c r="N16" s="83">
        <f t="shared" si="10"/>
        <v>0.12372823522833651</v>
      </c>
      <c r="O16" s="84">
        <f t="shared" si="5"/>
        <v>0.15908565400549288</v>
      </c>
      <c r="P16" s="85">
        <v>6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>
      <c r="A17" s="72"/>
      <c r="B17" s="91"/>
      <c r="C17" s="72"/>
      <c r="D17" s="78">
        <f t="shared" si="6"/>
        <v>0.17499999999999999</v>
      </c>
      <c r="E17" s="79">
        <f t="shared" si="7"/>
        <v>0.37242256683503505</v>
      </c>
      <c r="F17" s="80">
        <f t="shared" si="8"/>
        <v>5.2876937185422435</v>
      </c>
      <c r="G17" s="80">
        <f t="shared" si="9"/>
        <v>0.30296253343030677</v>
      </c>
      <c r="H17" s="81">
        <f t="shared" si="0"/>
        <v>31.726162311253461</v>
      </c>
      <c r="I17" s="72"/>
      <c r="J17" s="82">
        <f t="shared" si="2"/>
        <v>16.133548895230991</v>
      </c>
      <c r="K17" s="83">
        <f t="shared" si="3"/>
        <v>16.133548895230991</v>
      </c>
      <c r="L17" s="83">
        <f t="shared" si="4"/>
        <v>2.6889248158718315</v>
      </c>
      <c r="M17" s="83">
        <f t="shared" si="1"/>
        <v>0.15406404337744795</v>
      </c>
      <c r="N17" s="83">
        <f t="shared" si="10"/>
        <v>0.14889849005285882</v>
      </c>
      <c r="O17" s="84">
        <f t="shared" si="5"/>
        <v>0.15406404337744795</v>
      </c>
      <c r="P17" s="85">
        <v>7</v>
      </c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  <row r="18" spans="1:28" ht="13.8" thickBot="1">
      <c r="A18" s="72"/>
      <c r="B18" s="72"/>
      <c r="C18" s="72"/>
      <c r="D18" s="78">
        <f t="shared" si="6"/>
        <v>0.2</v>
      </c>
      <c r="E18" s="79">
        <f t="shared" si="7"/>
        <v>0.42971834634811745</v>
      </c>
      <c r="F18" s="80">
        <f t="shared" si="8"/>
        <v>5.5944773735652307</v>
      </c>
      <c r="G18" s="80">
        <f t="shared" si="9"/>
        <v>0.32053994208672132</v>
      </c>
      <c r="H18" s="81">
        <f t="shared" si="0"/>
        <v>33.566864241391386</v>
      </c>
      <c r="I18" s="72"/>
      <c r="J18" s="82">
        <f t="shared" si="2"/>
        <v>15.69630804430191</v>
      </c>
      <c r="K18" s="83">
        <f t="shared" si="3"/>
        <v>15.69630804430191</v>
      </c>
      <c r="L18" s="83">
        <f t="shared" si="4"/>
        <v>2.616051340716985</v>
      </c>
      <c r="M18" s="83">
        <f t="shared" si="1"/>
        <v>0.14988870081262379</v>
      </c>
      <c r="N18" s="83">
        <f t="shared" si="10"/>
        <v>0.17065124127409753</v>
      </c>
      <c r="O18" s="84">
        <f t="shared" si="5"/>
        <v>0.14988870081262379</v>
      </c>
      <c r="P18" s="85">
        <v>8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1:28" ht="13.8" thickBot="1">
      <c r="A19" s="92" t="s">
        <v>59</v>
      </c>
      <c r="B19" s="92" t="s">
        <v>60</v>
      </c>
      <c r="C19" s="93" t="s">
        <v>48</v>
      </c>
      <c r="D19" s="78">
        <f t="shared" si="6"/>
        <v>0.22500000000000001</v>
      </c>
      <c r="E19" s="79">
        <f t="shared" si="7"/>
        <v>0.4870141258611998</v>
      </c>
      <c r="F19" s="80">
        <f t="shared" si="8"/>
        <v>5.8634327616166955</v>
      </c>
      <c r="G19" s="80">
        <f t="shared" si="9"/>
        <v>0.33594995069937361</v>
      </c>
      <c r="H19" s="81">
        <f t="shared" si="0"/>
        <v>35.180596569700171</v>
      </c>
      <c r="I19" s="72"/>
      <c r="J19" s="82">
        <f t="shared" si="2"/>
        <v>15.323601298036982</v>
      </c>
      <c r="K19" s="83">
        <f t="shared" si="3"/>
        <v>15.323601298036982</v>
      </c>
      <c r="L19" s="83">
        <f t="shared" si="4"/>
        <v>2.5539335496728302</v>
      </c>
      <c r="M19" s="83">
        <f t="shared" si="1"/>
        <v>0.14632961355311816</v>
      </c>
      <c r="N19" s="83">
        <f t="shared" si="10"/>
        <v>0.18962033714625545</v>
      </c>
      <c r="O19" s="84">
        <f t="shared" si="5"/>
        <v>0.14632961355311816</v>
      </c>
      <c r="P19" s="85">
        <v>9</v>
      </c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>
      <c r="A20" s="94">
        <v>0.05</v>
      </c>
      <c r="B20" s="95">
        <v>5.33E-2</v>
      </c>
      <c r="C20" s="96">
        <v>0.61799999999999999</v>
      </c>
      <c r="D20" s="78">
        <f t="shared" si="6"/>
        <v>0.25</v>
      </c>
      <c r="E20" s="79">
        <f t="shared" si="7"/>
        <v>0.54430990537428203</v>
      </c>
      <c r="F20" s="80">
        <f t="shared" si="8"/>
        <v>6.0995659567801299</v>
      </c>
      <c r="G20" s="80">
        <f t="shared" si="9"/>
        <v>0.34947938618517738</v>
      </c>
      <c r="H20" s="81">
        <f t="shared" si="0"/>
        <v>36.597395740680781</v>
      </c>
      <c r="I20" s="72"/>
      <c r="J20" s="82">
        <f t="shared" si="2"/>
        <v>14.999830327659264</v>
      </c>
      <c r="K20" s="83">
        <f t="shared" si="3"/>
        <v>14.999830327659264</v>
      </c>
      <c r="L20" s="83">
        <f t="shared" si="4"/>
        <v>2.4999717212765442</v>
      </c>
      <c r="M20" s="83">
        <f t="shared" si="1"/>
        <v>0.14323782853120176</v>
      </c>
      <c r="N20" s="83">
        <f t="shared" si="10"/>
        <v>0.20624155765397562</v>
      </c>
      <c r="O20" s="84">
        <f t="shared" si="5"/>
        <v>0.14323782853120176</v>
      </c>
      <c r="P20" s="85">
        <v>10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</row>
    <row r="21" spans="1:28">
      <c r="A21" s="97">
        <v>0.1</v>
      </c>
      <c r="B21" s="98">
        <v>6.2E-2</v>
      </c>
      <c r="C21" s="99">
        <v>0.66100000000000003</v>
      </c>
      <c r="D21" s="78">
        <f t="shared" si="6"/>
        <v>0.27500000000000002</v>
      </c>
      <c r="E21" s="79">
        <f t="shared" si="7"/>
        <v>0.60160568488736443</v>
      </c>
      <c r="F21" s="80">
        <f t="shared" si="8"/>
        <v>6.3065648666026304</v>
      </c>
      <c r="G21" s="80">
        <f t="shared" si="9"/>
        <v>0.36133955008181573</v>
      </c>
      <c r="H21" s="81">
        <f t="shared" si="0"/>
        <v>37.839389199615781</v>
      </c>
      <c r="I21" s="72"/>
      <c r="J21" s="82">
        <f t="shared" si="2"/>
        <v>14.714345000429361</v>
      </c>
      <c r="K21" s="83">
        <f t="shared" si="3"/>
        <v>14.714345000429361</v>
      </c>
      <c r="L21" s="83">
        <f t="shared" si="4"/>
        <v>2.4523908334048934</v>
      </c>
      <c r="M21" s="83">
        <f t="shared" si="1"/>
        <v>0.14051164447067097</v>
      </c>
      <c r="N21" s="83">
        <f t="shared" si="10"/>
        <v>0.22082790561114476</v>
      </c>
      <c r="O21" s="84">
        <f t="shared" si="5"/>
        <v>0.14051164447067097</v>
      </c>
      <c r="P21" s="85">
        <v>11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</row>
    <row r="22" spans="1:28">
      <c r="A22" s="97">
        <v>0.15</v>
      </c>
      <c r="B22" s="98">
        <v>7.0099999999999996E-2</v>
      </c>
      <c r="C22" s="99">
        <v>0.68300000000000005</v>
      </c>
      <c r="D22" s="78">
        <f t="shared" si="6"/>
        <v>0.3</v>
      </c>
      <c r="E22" s="79">
        <f t="shared" si="7"/>
        <v>0.65890146440044661</v>
      </c>
      <c r="F22" s="80">
        <f t="shared" si="8"/>
        <v>6.4872190048330145</v>
      </c>
      <c r="G22" s="80">
        <f t="shared" si="9"/>
        <v>0.37169026975398972</v>
      </c>
      <c r="H22" s="81">
        <f t="shared" si="0"/>
        <v>38.923314028998085</v>
      </c>
      <c r="I22" s="72"/>
      <c r="J22" s="82">
        <f t="shared" si="2"/>
        <v>14.459567258220998</v>
      </c>
      <c r="K22" s="83">
        <f t="shared" si="3"/>
        <v>14.459567258220998</v>
      </c>
      <c r="L22" s="83">
        <f t="shared" si="4"/>
        <v>2.4099278763701664</v>
      </c>
      <c r="M22" s="83">
        <f t="shared" si="1"/>
        <v>0.13807869624693575</v>
      </c>
      <c r="N22" s="83">
        <f t="shared" si="10"/>
        <v>0.23361157350705397</v>
      </c>
      <c r="O22" s="84">
        <f t="shared" si="5"/>
        <v>0.13807869624693575</v>
      </c>
      <c r="P22" s="85">
        <v>12</v>
      </c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>
      <c r="A23" s="97">
        <v>0.2</v>
      </c>
      <c r="B23" s="98">
        <v>7.7100000000000002E-2</v>
      </c>
      <c r="C23" s="99">
        <v>0.69899999999999995</v>
      </c>
      <c r="D23" s="78">
        <f t="shared" si="6"/>
        <v>0.32500000000000001</v>
      </c>
      <c r="E23" s="79">
        <f t="shared" si="7"/>
        <v>0.71619724391352901</v>
      </c>
      <c r="F23" s="80">
        <f t="shared" si="8"/>
        <v>6.6436778113565298</v>
      </c>
      <c r="G23" s="80">
        <f t="shared" si="9"/>
        <v>0.38065469903544102</v>
      </c>
      <c r="H23" s="81">
        <f t="shared" si="0"/>
        <v>39.862066868139181</v>
      </c>
      <c r="I23" s="72"/>
      <c r="J23" s="82">
        <f t="shared" si="2"/>
        <v>14.229923311793778</v>
      </c>
      <c r="K23" s="83">
        <f t="shared" si="3"/>
        <v>14.229923311793778</v>
      </c>
      <c r="L23" s="83">
        <f t="shared" si="4"/>
        <v>2.3716538852989628</v>
      </c>
      <c r="M23" s="83">
        <f t="shared" si="1"/>
        <v>0.13588575809343442</v>
      </c>
      <c r="N23" s="83">
        <f t="shared" si="10"/>
        <v>0.2447689409420066</v>
      </c>
      <c r="O23" s="84">
        <f t="shared" si="5"/>
        <v>0.13588575809343442</v>
      </c>
      <c r="P23" s="85">
        <v>13</v>
      </c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  <row r="24" spans="1:28">
      <c r="A24" s="97">
        <v>0.25</v>
      </c>
      <c r="B24" s="98">
        <v>8.5300000000000001E-2</v>
      </c>
      <c r="C24" s="99">
        <v>0.71099999999999997</v>
      </c>
      <c r="D24" s="78">
        <f t="shared" si="6"/>
        <v>0.35</v>
      </c>
      <c r="E24" s="79">
        <f t="shared" si="7"/>
        <v>0.77349302342661141</v>
      </c>
      <c r="F24" s="80">
        <f t="shared" si="8"/>
        <v>6.7776171144436876</v>
      </c>
      <c r="G24" s="80">
        <f t="shared" si="9"/>
        <v>0.38832885581325877</v>
      </c>
      <c r="H24" s="81">
        <f t="shared" si="0"/>
        <v>40.665702686662129</v>
      </c>
      <c r="I24" s="72"/>
      <c r="J24" s="82">
        <f t="shared" si="2"/>
        <v>14.02120049364332</v>
      </c>
      <c r="K24" s="83">
        <f t="shared" si="3"/>
        <v>14.02120049364332</v>
      </c>
      <c r="L24" s="83">
        <f t="shared" si="4"/>
        <v>2.3368667489405532</v>
      </c>
      <c r="M24" s="83">
        <f t="shared" si="1"/>
        <v>0.13389260199875144</v>
      </c>
      <c r="N24" s="83">
        <f t="shared" si="10"/>
        <v>0.2544362538145073</v>
      </c>
      <c r="O24" s="84">
        <f t="shared" si="5"/>
        <v>0.13389260199875144</v>
      </c>
      <c r="P24" s="85">
        <v>14</v>
      </c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</row>
    <row r="25" spans="1:28">
      <c r="A25" s="97">
        <v>0.3</v>
      </c>
      <c r="B25" s="98">
        <v>9.2499999999999999E-2</v>
      </c>
      <c r="C25" s="99">
        <v>0.72</v>
      </c>
      <c r="D25" s="78">
        <f t="shared" si="6"/>
        <v>0.375</v>
      </c>
      <c r="E25" s="79">
        <f t="shared" si="7"/>
        <v>0.8307888029396937</v>
      </c>
      <c r="F25" s="80">
        <f t="shared" si="8"/>
        <v>6.8903502874188707</v>
      </c>
      <c r="G25" s="80">
        <f t="shared" si="9"/>
        <v>0.39478799083585503</v>
      </c>
      <c r="H25" s="81">
        <f t="shared" si="0"/>
        <v>41.342101724513228</v>
      </c>
      <c r="I25" s="72"/>
      <c r="J25" s="82">
        <f t="shared" si="2"/>
        <v>13.830141625611171</v>
      </c>
      <c r="K25" s="83">
        <f t="shared" si="3"/>
        <v>13.830141625611171</v>
      </c>
      <c r="L25" s="83">
        <f t="shared" si="4"/>
        <v>2.3050236042685284</v>
      </c>
      <c r="M25" s="83">
        <f t="shared" si="1"/>
        <v>0.13206812420261993</v>
      </c>
      <c r="N25" s="83">
        <f t="shared" si="10"/>
        <v>0.2627198666332351</v>
      </c>
      <c r="O25" s="84">
        <f t="shared" si="5"/>
        <v>0.13206812420261993</v>
      </c>
      <c r="P25" s="85">
        <v>15</v>
      </c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</row>
    <row r="26" spans="1:28">
      <c r="A26" s="97">
        <v>0.35</v>
      </c>
      <c r="B26" s="98">
        <v>9.9599999999999994E-2</v>
      </c>
      <c r="C26" s="99">
        <v>0.72899999999999998</v>
      </c>
      <c r="D26" s="78">
        <f t="shared" si="6"/>
        <v>0.4</v>
      </c>
      <c r="E26" s="79">
        <f t="shared" si="7"/>
        <v>0.88808458245277599</v>
      </c>
      <c r="F26" s="80">
        <f>SQRT(didtmax^2*(1-(E26-Ta/2)^2/(Ta/2)^2))</f>
        <v>6.9829044717159849</v>
      </c>
      <c r="G26" s="80">
        <f t="shared" si="9"/>
        <v>0.40009095497235564</v>
      </c>
      <c r="H26" s="81">
        <f t="shared" si="0"/>
        <v>41.897426830295913</v>
      </c>
      <c r="I26" s="72"/>
      <c r="J26" s="82">
        <f t="shared" si="2"/>
        <v>13.654179210802996</v>
      </c>
      <c r="K26" s="83">
        <f t="shared" si="3"/>
        <v>13.654179210802996</v>
      </c>
      <c r="L26" s="83">
        <f t="shared" si="4"/>
        <v>2.2756965351338327</v>
      </c>
      <c r="M26" s="83">
        <f t="shared" si="1"/>
        <v>0.13038780691571347</v>
      </c>
      <c r="N26" s="83">
        <f t="shared" si="10"/>
        <v>0.26970314805664219</v>
      </c>
      <c r="O26" s="84">
        <f t="shared" si="5"/>
        <v>0.13038780691571347</v>
      </c>
      <c r="P26" s="85">
        <v>16</v>
      </c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</row>
    <row r="27" spans="1:28">
      <c r="A27" s="97">
        <v>0.4</v>
      </c>
      <c r="B27" s="98">
        <v>0.10639999999999999</v>
      </c>
      <c r="C27" s="99">
        <v>0.73599999999999999</v>
      </c>
      <c r="D27" s="78">
        <f t="shared" si="6"/>
        <v>0.42499999999999999</v>
      </c>
      <c r="E27" s="79">
        <f t="shared" si="7"/>
        <v>0.94538036196585828</v>
      </c>
      <c r="F27" s="80">
        <f t="shared" si="8"/>
        <v>7.0560737725262852</v>
      </c>
      <c r="G27" s="80">
        <f t="shared" si="9"/>
        <v>0.404283247098709</v>
      </c>
      <c r="H27" s="81">
        <f t="shared" si="0"/>
        <v>42.336442635157709</v>
      </c>
      <c r="I27" s="72"/>
      <c r="J27" s="82">
        <f t="shared" si="2"/>
        <v>13.491255533051307</v>
      </c>
      <c r="K27" s="83">
        <f t="shared" si="3"/>
        <v>13.491255533051307</v>
      </c>
      <c r="L27" s="83">
        <f t="shared" si="4"/>
        <v>2.2485425888418846</v>
      </c>
      <c r="M27" s="83">
        <f t="shared" si="1"/>
        <v>0.12883200039605996</v>
      </c>
      <c r="N27" s="83">
        <f t="shared" si="10"/>
        <v>0.27545124670264903</v>
      </c>
      <c r="O27" s="84">
        <f t="shared" si="5"/>
        <v>0.12883200039605996</v>
      </c>
      <c r="P27" s="85">
        <v>17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</row>
    <row r="28" spans="1:28">
      <c r="A28" s="97">
        <v>0.45</v>
      </c>
      <c r="B28" s="98">
        <v>0.113</v>
      </c>
      <c r="C28" s="99">
        <v>0.74199999999999999</v>
      </c>
      <c r="D28" s="78">
        <f t="shared" si="6"/>
        <v>0.45</v>
      </c>
      <c r="E28" s="79">
        <f t="shared" si="7"/>
        <v>1.0026761414789407</v>
      </c>
      <c r="F28" s="80">
        <f t="shared" si="8"/>
        <v>7.1104566484860854</v>
      </c>
      <c r="G28" s="80">
        <f t="shared" si="9"/>
        <v>0.40739915636898905</v>
      </c>
      <c r="H28" s="81">
        <f t="shared" si="0"/>
        <v>42.662739890916512</v>
      </c>
      <c r="I28" s="72"/>
      <c r="J28" s="82">
        <f t="shared" si="2"/>
        <v>13.339697484810563</v>
      </c>
      <c r="K28" s="83">
        <f t="shared" si="3"/>
        <v>13.339697484810563</v>
      </c>
      <c r="L28" s="83">
        <f t="shared" si="4"/>
        <v>2.2232829141350936</v>
      </c>
      <c r="M28" s="83">
        <f t="shared" si="1"/>
        <v>0.12738472764348746</v>
      </c>
      <c r="N28" s="83">
        <f t="shared" si="10"/>
        <v>0.28001442872550159</v>
      </c>
      <c r="O28" s="84">
        <f t="shared" si="5"/>
        <v>0.12738472764348746</v>
      </c>
      <c r="P28" s="85">
        <v>18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</row>
    <row r="29" spans="1:28">
      <c r="A29" s="97">
        <v>0.5</v>
      </c>
      <c r="B29" s="98">
        <v>0.1196</v>
      </c>
      <c r="C29" s="99">
        <v>0.748</v>
      </c>
      <c r="D29" s="78">
        <f t="shared" si="6"/>
        <v>0.47499999999999998</v>
      </c>
      <c r="E29" s="79">
        <f t="shared" si="7"/>
        <v>1.0599719209920231</v>
      </c>
      <c r="F29" s="80">
        <f t="shared" si="8"/>
        <v>7.1464819919391873</v>
      </c>
      <c r="G29" s="80">
        <f t="shared" si="9"/>
        <v>0.40946325650436111</v>
      </c>
      <c r="H29" s="81">
        <f t="shared" si="0"/>
        <v>42.878891951635126</v>
      </c>
      <c r="I29" s="72"/>
      <c r="J29" s="82">
        <f t="shared" si="2"/>
        <v>13.198127362768965</v>
      </c>
      <c r="K29" s="83">
        <f t="shared" si="3"/>
        <v>13.198127362768965</v>
      </c>
      <c r="L29" s="83">
        <f t="shared" si="4"/>
        <v>2.199687893794827</v>
      </c>
      <c r="M29" s="83">
        <f t="shared" si="1"/>
        <v>0.12603283256046485</v>
      </c>
      <c r="N29" s="83">
        <f t="shared" si="10"/>
        <v>0.28343042394389628</v>
      </c>
      <c r="O29" s="84">
        <f t="shared" si="5"/>
        <v>0.12603283256046485</v>
      </c>
      <c r="P29" s="85">
        <v>19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</row>
    <row r="30" spans="1:28">
      <c r="A30" s="97">
        <v>0.6</v>
      </c>
      <c r="B30" s="98">
        <v>0.1321</v>
      </c>
      <c r="C30" s="99">
        <v>0.75700000000000001</v>
      </c>
      <c r="D30" s="78">
        <f t="shared" si="6"/>
        <v>0.5</v>
      </c>
      <c r="E30" s="79">
        <f t="shared" si="7"/>
        <v>1.1172677005051053</v>
      </c>
      <c r="F30" s="80">
        <f t="shared" si="8"/>
        <v>7.164426733289039</v>
      </c>
      <c r="G30" s="80">
        <f t="shared" si="9"/>
        <v>0.4104914144481614</v>
      </c>
      <c r="H30" s="81">
        <f t="shared" si="0"/>
        <v>42.98656039973423</v>
      </c>
      <c r="I30" s="72"/>
      <c r="J30" s="82">
        <f t="shared" si="2"/>
        <v>13.065397949638403</v>
      </c>
      <c r="K30" s="83">
        <f t="shared" si="3"/>
        <v>13.065397949638403</v>
      </c>
      <c r="L30" s="83">
        <f t="shared" si="4"/>
        <v>2.1775663249397335</v>
      </c>
      <c r="M30" s="83">
        <f t="shared" si="1"/>
        <v>0.12476536002885993</v>
      </c>
      <c r="N30" s="83">
        <f t="shared" si="10"/>
        <v>0.28572605441930143</v>
      </c>
      <c r="O30" s="84">
        <f t="shared" si="5"/>
        <v>0.12476536002885993</v>
      </c>
      <c r="P30" s="85">
        <v>20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</row>
    <row r="31" spans="1:28">
      <c r="A31" s="97">
        <v>0.7</v>
      </c>
      <c r="B31" s="98">
        <v>0.14430000000000001</v>
      </c>
      <c r="C31" s="99">
        <v>0.76600000000000001</v>
      </c>
      <c r="D31" s="78">
        <f t="shared" si="6"/>
        <v>0.52500000000000002</v>
      </c>
      <c r="E31" s="79">
        <f t="shared" si="7"/>
        <v>1.1745634800181874</v>
      </c>
      <c r="F31" s="80">
        <f t="shared" si="8"/>
        <v>7.164426733289039</v>
      </c>
      <c r="G31" s="80">
        <f t="shared" si="9"/>
        <v>0.4104914144481614</v>
      </c>
      <c r="H31" s="81">
        <f t="shared" si="0"/>
        <v>42.98656039973423</v>
      </c>
      <c r="I31" s="72"/>
      <c r="J31" s="82">
        <f t="shared" si="2"/>
        <v>12.940544388285463</v>
      </c>
      <c r="K31" s="83">
        <f t="shared" si="3"/>
        <v>12.940544388285463</v>
      </c>
      <c r="L31" s="83">
        <f t="shared" si="4"/>
        <v>2.1567573980475769</v>
      </c>
      <c r="M31" s="83">
        <f t="shared" si="1"/>
        <v>0.1235730963417431</v>
      </c>
      <c r="N31" s="83">
        <f t="shared" si="10"/>
        <v>0.28691831810641832</v>
      </c>
      <c r="O31" s="84">
        <f t="shared" si="5"/>
        <v>0.1235730963417431</v>
      </c>
      <c r="P31" s="85">
        <v>21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</row>
    <row r="32" spans="1:28">
      <c r="A32" s="97">
        <v>0.8</v>
      </c>
      <c r="B32" s="98">
        <v>0.156</v>
      </c>
      <c r="C32" s="99">
        <v>0.77300000000000002</v>
      </c>
      <c r="D32" s="78">
        <f t="shared" si="6"/>
        <v>0.55000000000000004</v>
      </c>
      <c r="E32" s="79">
        <f t="shared" si="7"/>
        <v>1.2318592595312701</v>
      </c>
      <c r="F32" s="80">
        <f t="shared" si="8"/>
        <v>7.1464819919391873</v>
      </c>
      <c r="G32" s="80">
        <f t="shared" si="9"/>
        <v>0.40946325650436111</v>
      </c>
      <c r="H32" s="81">
        <f t="shared" si="0"/>
        <v>42.878891951635126</v>
      </c>
      <c r="I32" s="72"/>
      <c r="J32" s="82">
        <f t="shared" si="2"/>
        <v>12.822747913029842</v>
      </c>
      <c r="K32" s="83">
        <f t="shared" si="3"/>
        <v>12.822747913029842</v>
      </c>
      <c r="L32" s="83">
        <f t="shared" si="4"/>
        <v>2.1371246521716403</v>
      </c>
      <c r="M32" s="83">
        <f t="shared" si="1"/>
        <v>0.12244822286279906</v>
      </c>
      <c r="N32" s="83">
        <f t="shared" si="10"/>
        <v>0.28701503364156206</v>
      </c>
      <c r="O32" s="84">
        <f t="shared" si="5"/>
        <v>0.12244822286279906</v>
      </c>
      <c r="P32" s="85">
        <v>22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</row>
    <row r="33" spans="1:28">
      <c r="A33" s="97">
        <v>0.9</v>
      </c>
      <c r="B33" s="98">
        <v>0.16739999999999999</v>
      </c>
      <c r="C33" s="99">
        <v>0.77900000000000003</v>
      </c>
      <c r="D33" s="78">
        <f t="shared" si="6"/>
        <v>0.57499999999999996</v>
      </c>
      <c r="E33" s="79">
        <f t="shared" si="7"/>
        <v>1.2891550390443522</v>
      </c>
      <c r="F33" s="80">
        <f t="shared" si="8"/>
        <v>7.1104566484860854</v>
      </c>
      <c r="G33" s="80">
        <f t="shared" si="9"/>
        <v>0.40739915636898905</v>
      </c>
      <c r="H33" s="81">
        <f t="shared" si="0"/>
        <v>42.662739890916512</v>
      </c>
      <c r="I33" s="72"/>
      <c r="J33" s="82">
        <f t="shared" si="2"/>
        <v>12.711308111480374</v>
      </c>
      <c r="K33" s="83">
        <f t="shared" si="3"/>
        <v>12.711308111480374</v>
      </c>
      <c r="L33" s="83">
        <f t="shared" si="4"/>
        <v>2.1185513519133958</v>
      </c>
      <c r="M33" s="83">
        <f t="shared" si="1"/>
        <v>0.12138405114637241</v>
      </c>
      <c r="N33" s="83">
        <f t="shared" si="10"/>
        <v>0.28601510522261664</v>
      </c>
      <c r="O33" s="84">
        <f t="shared" si="5"/>
        <v>0.12138405114637241</v>
      </c>
      <c r="P33" s="85">
        <v>23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</row>
    <row r="34" spans="1:28">
      <c r="A34" s="97">
        <v>1</v>
      </c>
      <c r="B34" s="98">
        <v>0.17860000000000001</v>
      </c>
      <c r="C34" s="99">
        <v>0.78500000000000003</v>
      </c>
      <c r="D34" s="78">
        <f t="shared" si="6"/>
        <v>0.6</v>
      </c>
      <c r="E34" s="79">
        <f t="shared" si="7"/>
        <v>1.3464508185574344</v>
      </c>
      <c r="F34" s="80">
        <f t="shared" si="8"/>
        <v>7.0560737725262852</v>
      </c>
      <c r="G34" s="80">
        <f t="shared" si="9"/>
        <v>0.404283247098709</v>
      </c>
      <c r="H34" s="81">
        <f t="shared" si="0"/>
        <v>42.336442635157709</v>
      </c>
      <c r="I34" s="72"/>
      <c r="J34" s="82">
        <f t="shared" si="2"/>
        <v>12.60562142746377</v>
      </c>
      <c r="K34" s="83">
        <f t="shared" si="3"/>
        <v>12.60562142746377</v>
      </c>
      <c r="L34" s="83">
        <f t="shared" si="4"/>
        <v>2.1009369045772952</v>
      </c>
      <c r="M34" s="83">
        <f t="shared" si="1"/>
        <v>0.12037481765555838</v>
      </c>
      <c r="N34" s="83">
        <f t="shared" si="10"/>
        <v>0.28390842944315064</v>
      </c>
      <c r="O34" s="84">
        <f t="shared" si="5"/>
        <v>0.12037481765555838</v>
      </c>
      <c r="P34" s="85">
        <v>24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</row>
    <row r="35" spans="1:28">
      <c r="A35" s="97">
        <v>1.5</v>
      </c>
      <c r="B35" s="98">
        <v>0.2283</v>
      </c>
      <c r="C35" s="99">
        <v>0.79900000000000004</v>
      </c>
      <c r="D35" s="78">
        <f t="shared" si="6"/>
        <v>0.625</v>
      </c>
      <c r="E35" s="79">
        <f t="shared" si="7"/>
        <v>1.403746598070517</v>
      </c>
      <c r="F35" s="80">
        <f t="shared" si="8"/>
        <v>6.9829044717159849</v>
      </c>
      <c r="G35" s="80">
        <f t="shared" si="9"/>
        <v>0.40009095497235564</v>
      </c>
      <c r="H35" s="81">
        <f t="shared" si="0"/>
        <v>41.897426830295913</v>
      </c>
      <c r="I35" s="72"/>
      <c r="J35" s="82">
        <f t="shared" si="2"/>
        <v>12.505164299710467</v>
      </c>
      <c r="K35" s="83">
        <f t="shared" si="3"/>
        <v>12.505164299710467</v>
      </c>
      <c r="L35" s="83">
        <f t="shared" si="4"/>
        <v>2.0841940499517446</v>
      </c>
      <c r="M35" s="83">
        <f t="shared" si="1"/>
        <v>0.11941552274851323</v>
      </c>
      <c r="N35" s="83">
        <f t="shared" si="10"/>
        <v>0.28067543222384239</v>
      </c>
      <c r="O35" s="84">
        <f t="shared" si="5"/>
        <v>0.11941552274851323</v>
      </c>
      <c r="P35" s="85">
        <v>25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</row>
    <row r="36" spans="1:28">
      <c r="A36" s="97">
        <v>2</v>
      </c>
      <c r="B36" s="98">
        <v>0.27529999999999999</v>
      </c>
      <c r="C36" s="99">
        <v>0.80800000000000005</v>
      </c>
      <c r="D36" s="78">
        <f t="shared" si="6"/>
        <v>0.65</v>
      </c>
      <c r="E36" s="79">
        <f t="shared" si="7"/>
        <v>1.4610423775835992</v>
      </c>
      <c r="F36" s="80">
        <f t="shared" si="8"/>
        <v>6.8903502874188707</v>
      </c>
      <c r="G36" s="80">
        <f t="shared" si="9"/>
        <v>0.39478799083585503</v>
      </c>
      <c r="H36" s="81">
        <f t="shared" si="0"/>
        <v>41.342101724513228</v>
      </c>
      <c r="I36" s="72"/>
      <c r="J36" s="82">
        <f t="shared" si="2"/>
        <v>12.409479791493968</v>
      </c>
      <c r="K36" s="83">
        <f t="shared" si="3"/>
        <v>12.409479791493968</v>
      </c>
      <c r="L36" s="83">
        <f t="shared" si="4"/>
        <v>2.0682466319156614</v>
      </c>
      <c r="M36" s="83">
        <f t="shared" si="1"/>
        <v>0.11850180300091487</v>
      </c>
      <c r="N36" s="83">
        <f t="shared" si="10"/>
        <v>0.27628618783494019</v>
      </c>
      <c r="O36" s="84">
        <f t="shared" si="5"/>
        <v>0.11850180300091487</v>
      </c>
      <c r="P36" s="85">
        <v>26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</row>
    <row r="37" spans="1:28">
      <c r="A37" s="97">
        <v>3</v>
      </c>
      <c r="B37" s="98">
        <v>0.36499999999999999</v>
      </c>
      <c r="C37" s="99">
        <v>0.81599999999999995</v>
      </c>
      <c r="D37" s="78">
        <f t="shared" si="6"/>
        <v>0.67500000000000004</v>
      </c>
      <c r="E37" s="79">
        <f t="shared" si="7"/>
        <v>1.5183381570966819</v>
      </c>
      <c r="F37" s="80">
        <f t="shared" si="8"/>
        <v>6.7776171144436876</v>
      </c>
      <c r="G37" s="80">
        <f t="shared" si="9"/>
        <v>0.38832885581325877</v>
      </c>
      <c r="H37" s="81">
        <f t="shared" si="0"/>
        <v>40.665702686662129</v>
      </c>
      <c r="I37" s="72"/>
      <c r="J37" s="82">
        <f t="shared" si="2"/>
        <v>12.318166882224681</v>
      </c>
      <c r="K37" s="83">
        <f t="shared" si="3"/>
        <v>12.318166882224681</v>
      </c>
      <c r="L37" s="83">
        <f t="shared" si="4"/>
        <v>2.0530278137041136</v>
      </c>
      <c r="M37" s="83">
        <f t="shared" si="1"/>
        <v>0.11762982894821634</v>
      </c>
      <c r="N37" s="83">
        <f t="shared" si="10"/>
        <v>0.27069902686504244</v>
      </c>
      <c r="O37" s="84">
        <f t="shared" si="5"/>
        <v>0.11762982894821634</v>
      </c>
      <c r="P37" s="85">
        <v>27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</row>
    <row r="38" spans="1:28" ht="13.8" thickBot="1">
      <c r="A38" s="100">
        <v>4</v>
      </c>
      <c r="B38" s="101">
        <v>0.44450000000000001</v>
      </c>
      <c r="C38" s="102">
        <v>0.82299999999999995</v>
      </c>
      <c r="D38" s="78">
        <f t="shared" si="6"/>
        <v>0.7</v>
      </c>
      <c r="E38" s="79">
        <f t="shared" si="7"/>
        <v>1.5756339366097638</v>
      </c>
      <c r="F38" s="80">
        <f t="shared" si="8"/>
        <v>6.6436778113565298</v>
      </c>
      <c r="G38" s="80">
        <f t="shared" si="9"/>
        <v>0.38065469903544102</v>
      </c>
      <c r="H38" s="81">
        <f t="shared" si="0"/>
        <v>39.862066868139181</v>
      </c>
      <c r="I38" s="72"/>
      <c r="J38" s="82">
        <f t="shared" si="2"/>
        <v>12.23087181223015</v>
      </c>
      <c r="K38" s="83">
        <f t="shared" si="3"/>
        <v>12.23087181223015</v>
      </c>
      <c r="L38" s="83">
        <f t="shared" si="4"/>
        <v>2.0384786353716917</v>
      </c>
      <c r="M38" s="83">
        <f t="shared" si="1"/>
        <v>0.11679622243438539</v>
      </c>
      <c r="N38" s="83">
        <f t="shared" si="10"/>
        <v>0.26385847660105566</v>
      </c>
      <c r="O38" s="84">
        <f t="shared" si="5"/>
        <v>0.11679622243438539</v>
      </c>
      <c r="P38" s="85">
        <v>28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>
      <c r="A39" s="72"/>
      <c r="B39" s="72"/>
      <c r="C39" s="72"/>
      <c r="D39" s="78">
        <f t="shared" si="6"/>
        <v>0.72499999999999998</v>
      </c>
      <c r="E39" s="79">
        <f t="shared" si="7"/>
        <v>1.632929716122846</v>
      </c>
      <c r="F39" s="80">
        <f t="shared" si="8"/>
        <v>6.4872190048330163</v>
      </c>
      <c r="G39" s="80">
        <f t="shared" si="9"/>
        <v>0.37169026975398983</v>
      </c>
      <c r="H39" s="81">
        <f t="shared" si="0"/>
        <v>38.923314028998099</v>
      </c>
      <c r="I39" s="72"/>
      <c r="J39" s="82">
        <f t="shared" si="2"/>
        <v>12.147281027911584</v>
      </c>
      <c r="K39" s="83">
        <f t="shared" si="3"/>
        <v>12.147281027911584</v>
      </c>
      <c r="L39" s="83">
        <f t="shared" si="4"/>
        <v>2.0245468379852638</v>
      </c>
      <c r="M39" s="83">
        <f t="shared" si="1"/>
        <v>0.11599798924311167</v>
      </c>
      <c r="N39" s="83">
        <f t="shared" si="10"/>
        <v>0.25569228051087817</v>
      </c>
      <c r="O39" s="84">
        <f t="shared" si="5"/>
        <v>0.11599798924311167</v>
      </c>
      <c r="P39" s="85">
        <v>29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</row>
    <row r="40" spans="1:28">
      <c r="A40" s="72"/>
      <c r="B40" s="72"/>
      <c r="C40" s="72"/>
      <c r="D40" s="78">
        <f t="shared" si="6"/>
        <v>0.75</v>
      </c>
      <c r="E40" s="79">
        <f t="shared" si="7"/>
        <v>1.6902254956359286</v>
      </c>
      <c r="F40" s="80">
        <f t="shared" si="8"/>
        <v>6.3065648666026304</v>
      </c>
      <c r="G40" s="80">
        <f t="shared" si="9"/>
        <v>0.36133955008181573</v>
      </c>
      <c r="H40" s="81">
        <f t="shared" si="0"/>
        <v>37.839389199615781</v>
      </c>
      <c r="I40" s="72"/>
      <c r="J40" s="82">
        <f t="shared" si="2"/>
        <v>12.067115386476933</v>
      </c>
      <c r="K40" s="83">
        <f t="shared" si="3"/>
        <v>12.067115386476933</v>
      </c>
      <c r="L40" s="83">
        <f t="shared" si="4"/>
        <v>2.0111858977461554</v>
      </c>
      <c r="M40" s="83">
        <f t="shared" si="1"/>
        <v>0.11523246375708425</v>
      </c>
      <c r="N40" s="83">
        <f t="shared" si="10"/>
        <v>0.24610708632473149</v>
      </c>
      <c r="O40" s="84">
        <f t="shared" si="5"/>
        <v>0.11523246375708425</v>
      </c>
      <c r="P40" s="85">
        <v>30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</row>
    <row r="41" spans="1:28">
      <c r="A41" s="72"/>
      <c r="B41" s="72"/>
      <c r="C41" s="72"/>
      <c r="D41" s="78">
        <f t="shared" si="6"/>
        <v>0.77500000000000002</v>
      </c>
      <c r="E41" s="79">
        <f t="shared" si="7"/>
        <v>1.7475212751490108</v>
      </c>
      <c r="F41" s="80">
        <f t="shared" si="8"/>
        <v>6.0995659567801299</v>
      </c>
      <c r="G41" s="80">
        <f t="shared" si="9"/>
        <v>0.34947938618517738</v>
      </c>
      <c r="H41" s="81">
        <f t="shared" si="0"/>
        <v>36.597395740680781</v>
      </c>
      <c r="I41" s="72"/>
      <c r="J41" s="82">
        <f t="shared" si="2"/>
        <v>11.990125360947875</v>
      </c>
      <c r="K41" s="83">
        <f t="shared" si="3"/>
        <v>11.990125360947875</v>
      </c>
      <c r="L41" s="83">
        <f t="shared" si="4"/>
        <v>1.9983542268246457</v>
      </c>
      <c r="M41" s="83">
        <f t="shared" si="1"/>
        <v>0.114497263169181</v>
      </c>
      <c r="N41" s="83">
        <f t="shared" si="10"/>
        <v>0.23498212301599636</v>
      </c>
      <c r="O41" s="84">
        <f t="shared" si="5"/>
        <v>0.114497263169181</v>
      </c>
      <c r="P41" s="85">
        <v>31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</row>
    <row r="42" spans="1:28">
      <c r="A42" s="72"/>
      <c r="B42" s="72"/>
      <c r="C42" s="72"/>
      <c r="D42" s="78">
        <f t="shared" si="6"/>
        <v>0.8</v>
      </c>
      <c r="E42" s="79">
        <f t="shared" si="7"/>
        <v>1.8048170546620934</v>
      </c>
      <c r="F42" s="80">
        <f t="shared" si="8"/>
        <v>5.8634327616166937</v>
      </c>
      <c r="G42" s="80">
        <f t="shared" si="9"/>
        <v>0.33594995069937345</v>
      </c>
      <c r="H42" s="81">
        <f t="shared" si="0"/>
        <v>35.180596569700164</v>
      </c>
      <c r="I42" s="72"/>
      <c r="J42" s="82">
        <f t="shared" si="2"/>
        <v>11.916087046149517</v>
      </c>
      <c r="K42" s="83">
        <f t="shared" si="3"/>
        <v>11.916087046149517</v>
      </c>
      <c r="L42" s="83">
        <f t="shared" si="4"/>
        <v>1.9860145076915861</v>
      </c>
      <c r="M42" s="83">
        <f t="shared" si="1"/>
        <v>0.11379024934247986</v>
      </c>
      <c r="N42" s="83">
        <f t="shared" si="10"/>
        <v>0.22215970135689359</v>
      </c>
      <c r="O42" s="84">
        <f t="shared" si="5"/>
        <v>0.11379024934247986</v>
      </c>
      <c r="P42" s="85">
        <v>32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</row>
    <row r="43" spans="1:28">
      <c r="A43" s="72"/>
      <c r="B43" s="72"/>
      <c r="C43" s="72"/>
      <c r="D43" s="78">
        <f t="shared" si="6"/>
        <v>0.82499999999999996</v>
      </c>
      <c r="E43" s="79">
        <f t="shared" si="7"/>
        <v>1.8621128341751756</v>
      </c>
      <c r="F43" s="80">
        <f t="shared" si="8"/>
        <v>5.5944773735652298</v>
      </c>
      <c r="G43" s="80">
        <f t="shared" si="9"/>
        <v>0.32053994208672132</v>
      </c>
      <c r="H43" s="81">
        <f t="shared" si="0"/>
        <v>33.566864241391379</v>
      </c>
      <c r="I43" s="72"/>
      <c r="J43" s="82">
        <f t="shared" si="2"/>
        <v>11.844798811075504</v>
      </c>
      <c r="K43" s="83">
        <f t="shared" si="3"/>
        <v>11.844798811075504</v>
      </c>
      <c r="L43" s="83">
        <f t="shared" si="4"/>
        <v>1.9741331351792508</v>
      </c>
      <c r="M43" s="83">
        <f t="shared" si="1"/>
        <v>0.11310949684270029</v>
      </c>
      <c r="N43" s="83">
        <f t="shared" si="10"/>
        <v>0.20743044524402104</v>
      </c>
      <c r="O43" s="84">
        <f t="shared" si="5"/>
        <v>0.11310949684270029</v>
      </c>
      <c r="P43" s="85">
        <v>33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</row>
    <row r="44" spans="1:28">
      <c r="A44" s="72"/>
      <c r="B44" s="72"/>
      <c r="C44" s="72"/>
      <c r="D44" s="78">
        <f t="shared" si="6"/>
        <v>0.85</v>
      </c>
      <c r="E44" s="79">
        <f t="shared" si="7"/>
        <v>1.9194086136882575</v>
      </c>
      <c r="F44" s="80">
        <f t="shared" si="8"/>
        <v>5.2876937185422452</v>
      </c>
      <c r="G44" s="80">
        <f t="shared" si="9"/>
        <v>0.30296253343030688</v>
      </c>
      <c r="H44" s="81">
        <f t="shared" si="0"/>
        <v>31.726162311253471</v>
      </c>
      <c r="I44" s="72"/>
      <c r="J44" s="82">
        <f t="shared" si="2"/>
        <v>11.776078476637533</v>
      </c>
      <c r="K44" s="83">
        <f t="shared" si="3"/>
        <v>11.776078476637533</v>
      </c>
      <c r="L44" s="83">
        <f t="shared" si="4"/>
        <v>1.9626797461062557</v>
      </c>
      <c r="M44" s="83">
        <f t="shared" si="1"/>
        <v>0.11245326598769642</v>
      </c>
      <c r="N44" s="83">
        <f t="shared" si="10"/>
        <v>0.19050926744261046</v>
      </c>
      <c r="O44" s="84">
        <f t="shared" si="5"/>
        <v>0.11245326598769642</v>
      </c>
      <c r="P44" s="85">
        <v>34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</row>
    <row r="45" spans="1:28">
      <c r="A45" s="72"/>
      <c r="B45" s="72"/>
      <c r="C45" s="72"/>
      <c r="D45" s="78">
        <f t="shared" si="6"/>
        <v>0.875</v>
      </c>
      <c r="E45" s="79">
        <f t="shared" si="7"/>
        <v>1.9767043932013402</v>
      </c>
      <c r="F45" s="80">
        <f t="shared" si="8"/>
        <v>4.9360335375008662</v>
      </c>
      <c r="G45" s="80">
        <f t="shared" si="9"/>
        <v>0.28281388923382939</v>
      </c>
      <c r="H45" s="81">
        <f t="shared" si="0"/>
        <v>29.616201225005199</v>
      </c>
      <c r="I45" s="72"/>
      <c r="J45" s="82">
        <f t="shared" si="2"/>
        <v>11.709760923342985</v>
      </c>
      <c r="K45" s="83">
        <f t="shared" si="3"/>
        <v>11.709760923342985</v>
      </c>
      <c r="L45" s="83">
        <f t="shared" si="4"/>
        <v>1.9516268205571641</v>
      </c>
      <c r="M45" s="83">
        <f t="shared" si="1"/>
        <v>0.11181998000246116</v>
      </c>
      <c r="N45" s="83">
        <f t="shared" si="10"/>
        <v>0.17099390923136823</v>
      </c>
      <c r="O45" s="84">
        <f t="shared" si="5"/>
        <v>0.11181998000246116</v>
      </c>
      <c r="P45" s="85">
        <v>35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</row>
    <row r="46" spans="1:28">
      <c r="A46" s="72"/>
      <c r="B46" s="72"/>
      <c r="C46" s="72"/>
      <c r="D46" s="78">
        <f t="shared" si="6"/>
        <v>0.9</v>
      </c>
      <c r="E46" s="79">
        <f t="shared" si="7"/>
        <v>2.0340001727144226</v>
      </c>
      <c r="F46" s="80">
        <f t="shared" si="8"/>
        <v>4.529055503082291</v>
      </c>
      <c r="G46" s="80">
        <f t="shared" si="9"/>
        <v>0.25949576550711506</v>
      </c>
      <c r="H46" s="81">
        <f t="shared" si="0"/>
        <v>27.174333018493748</v>
      </c>
      <c r="I46" s="72"/>
      <c r="J46" s="82">
        <f t="shared" si="2"/>
        <v>11.645696053015536</v>
      </c>
      <c r="K46" s="83">
        <f t="shared" si="3"/>
        <v>11.645696053015536</v>
      </c>
      <c r="L46" s="83">
        <f t="shared" si="4"/>
        <v>1.9409493421692559</v>
      </c>
      <c r="M46" s="83">
        <f t="shared" si="1"/>
        <v>0.11120820555499186</v>
      </c>
      <c r="N46" s="83">
        <f t="shared" si="10"/>
        <v>0.1482875599521232</v>
      </c>
      <c r="O46" s="84">
        <f t="shared" si="5"/>
        <v>0.11120820555499186</v>
      </c>
      <c r="P46" s="85">
        <v>36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</row>
    <row r="47" spans="1:28">
      <c r="A47" s="72"/>
      <c r="B47" s="72"/>
      <c r="C47" s="72"/>
      <c r="D47" s="78">
        <f t="shared" si="6"/>
        <v>0.92500000000000004</v>
      </c>
      <c r="E47" s="79">
        <f t="shared" si="7"/>
        <v>2.091295952227505</v>
      </c>
      <c r="F47" s="80">
        <f>SQRT(didtmax^2*(1-(E47-Ta/2)^2/(Ta/2)^2))</f>
        <v>4.0501178823722013</v>
      </c>
      <c r="G47" s="80">
        <f t="shared" si="9"/>
        <v>0.23205466119038953</v>
      </c>
      <c r="H47" s="81">
        <f t="shared" si="0"/>
        <v>24.300707294233206</v>
      </c>
      <c r="I47" s="72"/>
      <c r="J47" s="82">
        <f t="shared" si="2"/>
        <v>11.583747043800448</v>
      </c>
      <c r="K47" s="83">
        <f t="shared" si="3"/>
        <v>11.583747043800448</v>
      </c>
      <c r="L47" s="83">
        <f t="shared" si="4"/>
        <v>1.9306245073000747</v>
      </c>
      <c r="M47" s="83">
        <f t="shared" si="1"/>
        <v>0.11061663609281827</v>
      </c>
      <c r="N47" s="83">
        <f t="shared" si="10"/>
        <v>0.12143802509757126</v>
      </c>
      <c r="O47" s="84">
        <f t="shared" si="5"/>
        <v>0.11061663609281827</v>
      </c>
      <c r="P47" s="85">
        <v>37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</row>
    <row r="48" spans="1:28">
      <c r="A48" s="72"/>
      <c r="B48" s="72"/>
      <c r="C48" s="72"/>
      <c r="D48" s="78">
        <f t="shared" si="6"/>
        <v>0.95</v>
      </c>
      <c r="E48" s="79">
        <f t="shared" si="7"/>
        <v>2.1485917317405869</v>
      </c>
      <c r="F48" s="80">
        <f>SQRT(didtmax^2*(1-(E48-Ta/2)^2/(Ta/2)^2))</f>
        <v>3.4695475809774785</v>
      </c>
      <c r="G48" s="80">
        <f t="shared" si="9"/>
        <v>0.19879043320983375</v>
      </c>
      <c r="H48" s="81">
        <f>F48*6</f>
        <v>20.817285485864872</v>
      </c>
      <c r="I48" s="72"/>
      <c r="J48" s="82">
        <f t="shared" si="2"/>
        <v>11.523788849481173</v>
      </c>
      <c r="K48" s="83">
        <f t="shared" si="3"/>
        <v>11.523788849481173</v>
      </c>
      <c r="L48" s="83">
        <f>K48*10/(60)</f>
        <v>1.9206314749135287</v>
      </c>
      <c r="M48" s="83">
        <f t="shared" si="1"/>
        <v>0.11004407751253165</v>
      </c>
      <c r="N48" s="83">
        <f t="shared" si="10"/>
        <v>8.8746355697302104E-2</v>
      </c>
      <c r="O48" s="84">
        <f t="shared" si="5"/>
        <v>0.11004407751253165</v>
      </c>
      <c r="P48" s="85">
        <v>38</v>
      </c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</row>
    <row r="49" spans="1:28">
      <c r="A49" s="72"/>
      <c r="B49" s="72"/>
      <c r="C49" s="72"/>
      <c r="D49" s="78">
        <f t="shared" si="6"/>
        <v>0.97499999999999998</v>
      </c>
      <c r="E49" s="79">
        <f t="shared" si="7"/>
        <v>2.2058875112536693</v>
      </c>
      <c r="F49" s="80">
        <f>SQRT(didtmax^2*(1-(E49-Ta/2)^2/(Ta/2)^2))</f>
        <v>2.7230975775147446</v>
      </c>
      <c r="G49" s="80">
        <f t="shared" si="9"/>
        <v>0.15602199839389341</v>
      </c>
      <c r="H49" s="81">
        <f>F49*6</f>
        <v>16.338585465088467</v>
      </c>
      <c r="I49" s="72"/>
      <c r="J49" s="82">
        <f t="shared" si="2"/>
        <v>11.465706903383165</v>
      </c>
      <c r="K49" s="83">
        <f t="shared" si="3"/>
        <v>11.465706903383165</v>
      </c>
      <c r="L49" s="83">
        <f>K49*10/(60)</f>
        <v>1.9109511505638608</v>
      </c>
      <c r="M49" s="83">
        <f t="shared" si="1"/>
        <v>0.10948943578297794</v>
      </c>
      <c r="N49" s="83">
        <f t="shared" si="10"/>
        <v>4.6532562610915471E-2</v>
      </c>
      <c r="O49" s="84">
        <f t="shared" si="5"/>
        <v>0.10948943578297794</v>
      </c>
      <c r="P49" s="85">
        <v>39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1:28" ht="13.8" thickBot="1">
      <c r="A50" s="72"/>
      <c r="B50" s="72"/>
      <c r="C50" s="72"/>
      <c r="D50" s="103">
        <f t="shared" si="6"/>
        <v>1</v>
      </c>
      <c r="E50" s="104">
        <f t="shared" si="7"/>
        <v>2.2631832907667517</v>
      </c>
      <c r="F50" s="105">
        <f>SQRT(didtmax^2*(1-(E50-Ta/2)^2/(Ta/2)^2))</f>
        <v>1.5924681664357085</v>
      </c>
      <c r="G50" s="105">
        <f t="shared" si="9"/>
        <v>9.1241704945702842E-2</v>
      </c>
      <c r="H50" s="106">
        <f>F50*6</f>
        <v>9.5548089986142521</v>
      </c>
      <c r="I50" s="72"/>
      <c r="J50" s="107">
        <f t="shared" si="2"/>
        <v>11.40939599445144</v>
      </c>
      <c r="K50" s="108">
        <f t="shared" si="3"/>
        <v>11.40939599445144</v>
      </c>
      <c r="L50" s="108">
        <f>K50*10/(60)</f>
        <v>1.9015659990752403</v>
      </c>
      <c r="M50" s="108">
        <f t="shared" si="1"/>
        <v>0.10895170621258907</v>
      </c>
      <c r="N50" s="108">
        <f>IF(G50&gt;M50,G50-M50,0)</f>
        <v>0</v>
      </c>
      <c r="O50" s="109">
        <f t="shared" si="5"/>
        <v>9.1241704945702842E-2</v>
      </c>
      <c r="P50" s="110">
        <v>40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1:28"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1:28"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1:28"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</row>
    <row r="54" spans="1:28"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spans="1:28"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</row>
    <row r="56" spans="1:28"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</row>
    <row r="57" spans="1:28"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</row>
    <row r="58" spans="1:28"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</row>
    <row r="59" spans="1:28"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</row>
    <row r="60" spans="1:28"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</row>
    <row r="61" spans="1:28"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</row>
    <row r="62" spans="1:28"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</row>
    <row r="63" spans="1:28"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</row>
    <row r="64" spans="1:28"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</row>
    <row r="65" spans="15:28"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</row>
    <row r="66" spans="15:28"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</row>
    <row r="67" spans="15:28"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</row>
    <row r="68" spans="15:28"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</row>
    <row r="69" spans="15:28"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</row>
    <row r="70" spans="15:28"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</row>
    <row r="71" spans="15:28"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</row>
    <row r="72" spans="15:28"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</row>
    <row r="73" spans="15:28"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</row>
    <row r="74" spans="15:28"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</row>
    <row r="75" spans="15:28"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</row>
    <row r="76" spans="15:28"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</row>
    <row r="77" spans="15:28"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</row>
    <row r="78" spans="15:28"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</row>
    <row r="79" spans="15:28"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</row>
    <row r="80" spans="15:28"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</row>
    <row r="81" spans="15:28"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</row>
    <row r="82" spans="15:28"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</row>
    <row r="83" spans="15:28"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</row>
    <row r="84" spans="15:28"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</row>
    <row r="85" spans="15:28"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</row>
    <row r="86" spans="15:28"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</row>
    <row r="87" spans="15:28"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</row>
    <row r="88" spans="15:28"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</row>
    <row r="89" spans="15:28"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</row>
    <row r="90" spans="15:28"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</row>
    <row r="91" spans="15:28"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</row>
    <row r="92" spans="15:28"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</row>
    <row r="93" spans="15:28"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</row>
    <row r="94" spans="15:28"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</row>
    <row r="95" spans="15:28"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</row>
    <row r="96" spans="15:28"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</row>
    <row r="97" spans="15:28"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</row>
    <row r="98" spans="15:28"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</row>
    <row r="99" spans="15:28"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</row>
    <row r="100" spans="15:28"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</row>
    <row r="101" spans="15:28"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</row>
    <row r="102" spans="15:28"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</row>
    <row r="103" spans="15:28"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</row>
    <row r="104" spans="15:28"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</row>
    <row r="105" spans="15:28"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</row>
    <row r="106" spans="15:28"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</row>
    <row r="107" spans="15:28"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</row>
    <row r="108" spans="15:28"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</row>
    <row r="109" spans="15:28"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</row>
    <row r="110" spans="15:28"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</row>
    <row r="111" spans="15:28"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</row>
    <row r="112" spans="15:28"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</row>
    <row r="113" spans="15:28"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</row>
    <row r="114" spans="15:28"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</row>
    <row r="115" spans="15:28"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</row>
    <row r="116" spans="15:28"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</row>
    <row r="117" spans="15:28"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</row>
    <row r="118" spans="15:28"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</row>
    <row r="119" spans="15:28"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</row>
    <row r="120" spans="15:28"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</row>
    <row r="121" spans="15:28"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</row>
    <row r="122" spans="15:28"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</row>
    <row r="123" spans="15:28"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</row>
    <row r="124" spans="15:28"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</row>
    <row r="125" spans="15:28"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</row>
    <row r="126" spans="15:28"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</row>
    <row r="127" spans="15:28"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</row>
    <row r="128" spans="15:28"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</row>
    <row r="129" spans="15:28"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</row>
    <row r="130" spans="15:28"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</row>
    <row r="131" spans="15:28"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</row>
    <row r="132" spans="15:28"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</row>
    <row r="133" spans="15:28"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</row>
    <row r="134" spans="15:28"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</row>
    <row r="135" spans="15:28"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</row>
    <row r="136" spans="15:28"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</row>
    <row r="137" spans="15:28"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</row>
    <row r="138" spans="15:28"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</row>
    <row r="139" spans="15:28"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</row>
    <row r="140" spans="15:28"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</row>
    <row r="141" spans="15:28"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</row>
    <row r="142" spans="15:28"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</row>
    <row r="143" spans="15:28"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</row>
    <row r="144" spans="15:28"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</row>
    <row r="145" spans="15:28"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</row>
    <row r="146" spans="15:28"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</row>
    <row r="147" spans="15:28"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</row>
    <row r="148" spans="15:28"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</row>
    <row r="149" spans="15:28"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</row>
    <row r="150" spans="15:28"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</row>
    <row r="151" spans="15:28"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</row>
    <row r="152" spans="15:28"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</row>
    <row r="153" spans="15:28"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</row>
    <row r="154" spans="15:28"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</row>
    <row r="155" spans="15:28"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</row>
    <row r="156" spans="15:28"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</row>
    <row r="157" spans="15:28"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</row>
    <row r="158" spans="15:28"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</row>
    <row r="159" spans="15:28"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</row>
    <row r="160" spans="15:28"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</row>
    <row r="161" spans="15:28"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</row>
    <row r="162" spans="15:28"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</row>
    <row r="163" spans="15:28"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</row>
    <row r="164" spans="15:28"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</row>
    <row r="165" spans="15:28"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</row>
    <row r="166" spans="15:28"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</row>
    <row r="167" spans="15:28"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</row>
    <row r="168" spans="15:28"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</row>
    <row r="169" spans="15:28"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</row>
    <row r="170" spans="15:28"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</row>
    <row r="171" spans="15:28"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</row>
    <row r="172" spans="15:28"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</row>
    <row r="173" spans="15:28"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</row>
    <row r="174" spans="15:28"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</row>
    <row r="175" spans="15:28"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</row>
    <row r="176" spans="15:28"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</row>
    <row r="177" spans="15:28"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</row>
    <row r="178" spans="15:28"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</row>
    <row r="179" spans="15:28"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</row>
    <row r="180" spans="15:28"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</row>
    <row r="181" spans="15:28"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</row>
    <row r="182" spans="15:28"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</row>
    <row r="183" spans="15:28"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</row>
    <row r="184" spans="15:28"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</row>
    <row r="185" spans="15:28"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</row>
    <row r="186" spans="15:28"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</row>
    <row r="187" spans="15:28"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</row>
    <row r="188" spans="15:28"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</row>
    <row r="189" spans="15:28"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</row>
    <row r="190" spans="15:28"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</row>
    <row r="191" spans="15:28"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</row>
    <row r="192" spans="15:28"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</row>
    <row r="193" spans="15:28"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</row>
    <row r="194" spans="15:28"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</row>
    <row r="195" spans="15:28"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</row>
    <row r="196" spans="15:28"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</row>
    <row r="197" spans="15:28"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</row>
    <row r="198" spans="15:28"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5:28"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</row>
    <row r="200" spans="15:28"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</row>
    <row r="201" spans="15:28"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</row>
    <row r="202" spans="15:28"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</row>
    <row r="203" spans="15:28"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</row>
    <row r="204" spans="15:28"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</row>
    <row r="205" spans="15:28"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</row>
    <row r="206" spans="15:28"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</row>
    <row r="207" spans="15:28"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</row>
    <row r="208" spans="15:28"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</row>
    <row r="209" spans="15:28"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</row>
    <row r="210" spans="15:28"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</row>
    <row r="211" spans="15:28"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</row>
    <row r="212" spans="15:28"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</row>
    <row r="213" spans="15:28"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</row>
    <row r="214" spans="15:28"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</row>
    <row r="215" spans="15:28"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</row>
    <row r="216" spans="15:28"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</row>
    <row r="217" spans="15:28"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</row>
    <row r="218" spans="15:28"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</row>
    <row r="219" spans="15:28"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</row>
    <row r="220" spans="15:28"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</row>
    <row r="221" spans="15:28"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</row>
    <row r="222" spans="15:28"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</row>
    <row r="223" spans="15:28"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</row>
    <row r="224" spans="15:28"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</row>
    <row r="225" spans="15:28"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</row>
    <row r="226" spans="15:28"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</row>
    <row r="227" spans="15:28"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</row>
    <row r="228" spans="15:28"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</row>
    <row r="229" spans="15:28"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</row>
    <row r="230" spans="15:28"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</row>
    <row r="231" spans="15:28"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</row>
    <row r="232" spans="15:28"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</row>
    <row r="233" spans="15:28"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</row>
    <row r="234" spans="15:28"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</row>
    <row r="235" spans="15:28"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</row>
    <row r="236" spans="15:28"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</row>
    <row r="237" spans="15:28"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</row>
    <row r="238" spans="15:28"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</row>
    <row r="239" spans="15:28"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</row>
    <row r="240" spans="15:28"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</row>
    <row r="241" spans="15:28"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</row>
    <row r="242" spans="15:28"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</row>
    <row r="243" spans="15:28"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</row>
    <row r="244" spans="15:28"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</row>
    <row r="245" spans="15:28"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</row>
    <row r="246" spans="15:28"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</row>
    <row r="247" spans="15:28"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</row>
    <row r="248" spans="15:28"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</row>
    <row r="249" spans="15:28"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</row>
    <row r="250" spans="15:28"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</row>
  </sheetData>
  <pageMargins left="0.75" right="0.75" top="1" bottom="1" header="0.5" footer="0.5"/>
  <pageSetup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ide_graph">
                <anchor moveWithCells="1" sizeWithCells="1">
                  <from>
                    <xdr:col>2</xdr:col>
                    <xdr:colOff>525780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ow_graph">
                <anchor moveWithCells="1" sizeWithCells="1">
                  <from>
                    <xdr:col>2</xdr:col>
                    <xdr:colOff>525780</xdr:colOff>
                    <xdr:row>2</xdr:row>
                    <xdr:rowOff>114300</xdr:rowOff>
                  </from>
                  <to>
                    <xdr:col>2</xdr:col>
                    <xdr:colOff>1242060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F415-4CCE-468D-8F15-30449D710056}">
  <sheetPr codeName="Sheet199"/>
  <dimension ref="A1:O165"/>
  <sheetViews>
    <sheetView tabSelected="1" workbookViewId="0">
      <selection activeCell="B11" sqref="B11"/>
    </sheetView>
  </sheetViews>
  <sheetFormatPr defaultColWidth="9.109375" defaultRowHeight="13.2"/>
  <cols>
    <col min="1" max="2" width="12" style="114" customWidth="1"/>
    <col min="3" max="3" width="9.109375" style="114"/>
    <col min="4" max="4" width="14.109375" style="114" customWidth="1"/>
    <col min="5" max="6" width="13.6640625" style="114" customWidth="1"/>
    <col min="7" max="7" width="14.5546875" style="114" customWidth="1"/>
    <col min="8" max="8" width="14.109375" style="114" customWidth="1"/>
    <col min="9" max="9" width="10.6640625" style="114" customWidth="1"/>
    <col min="10" max="10" width="21.33203125" style="114" customWidth="1"/>
    <col min="11" max="11" width="18.33203125" style="114" customWidth="1"/>
    <col min="12" max="12" width="27.6640625" style="114" customWidth="1"/>
    <col min="13" max="13" width="24.33203125" style="114" customWidth="1"/>
    <col min="14" max="14" width="9.109375" style="114"/>
    <col min="15" max="15" width="21.109375" style="114" customWidth="1"/>
    <col min="16" max="35" width="9.109375" style="114"/>
    <col min="36" max="36" width="15.5546875" style="114" customWidth="1"/>
    <col min="37" max="37" width="14.88671875" style="114" customWidth="1"/>
    <col min="38" max="16384" width="9.109375" style="114"/>
  </cols>
  <sheetData>
    <row r="1" spans="1:15">
      <c r="A1" s="120" t="s">
        <v>69</v>
      </c>
      <c r="B1" s="115"/>
      <c r="C1" s="117" t="s">
        <v>68</v>
      </c>
      <c r="D1" s="117" t="s">
        <v>63</v>
      </c>
      <c r="E1" s="117" t="s">
        <v>61</v>
      </c>
      <c r="F1" s="117" t="s">
        <v>67</v>
      </c>
      <c r="G1" s="117" t="s">
        <v>72</v>
      </c>
      <c r="H1" s="117" t="s">
        <v>73</v>
      </c>
      <c r="I1" s="117" t="s">
        <v>64</v>
      </c>
      <c r="J1" s="117" t="s">
        <v>74</v>
      </c>
      <c r="K1" s="117" t="s">
        <v>75</v>
      </c>
      <c r="L1" s="117" t="s">
        <v>76</v>
      </c>
      <c r="M1" s="117" t="s">
        <v>70</v>
      </c>
      <c r="N1" s="118" t="s">
        <v>62</v>
      </c>
      <c r="O1" s="121"/>
    </row>
    <row r="2" spans="1:15">
      <c r="A2" s="119">
        <v>95.3</v>
      </c>
      <c r="C2" s="116">
        <v>4</v>
      </c>
      <c r="D2" s="116">
        <v>1</v>
      </c>
      <c r="E2" s="116">
        <v>8</v>
      </c>
      <c r="F2" s="116">
        <f>(E2*C2*2*$A$2/($A$4^2))</f>
        <v>3.8120000000000001E-2</v>
      </c>
      <c r="G2" s="116">
        <f t="shared" ref="G2:G33" si="0">(E2*C2*2*$A$2/($A$4^2))*60</f>
        <v>2.2871999999999999</v>
      </c>
      <c r="H2" s="116">
        <f>F2+H3</f>
        <v>95.322335937500014</v>
      </c>
      <c r="I2" s="116">
        <v>198</v>
      </c>
      <c r="J2" s="116">
        <f>12200000000*(C2)*((H2/$A$8)^1.852/(I2^4.87))</f>
        <v>0.17951708923444562</v>
      </c>
      <c r="K2" s="116">
        <f>A6-J2</f>
        <v>19.820482910765556</v>
      </c>
      <c r="L2" s="116">
        <f>A6-J2</f>
        <v>19.820482910765556</v>
      </c>
      <c r="M2" s="116">
        <f t="shared" ref="M2:M33" si="1">(F2*60/(0.0666*(K2*9.8)^0.5*0.97))^0.5</f>
        <v>1.5938373969091619</v>
      </c>
      <c r="N2" s="116">
        <f>100</f>
        <v>100</v>
      </c>
    </row>
    <row r="3" spans="1:15">
      <c r="A3" s="120" t="s">
        <v>66</v>
      </c>
      <c r="C3" s="116">
        <f t="shared" ref="C3:C28" si="2">E3-E2</f>
        <v>4</v>
      </c>
      <c r="D3" s="116">
        <f t="shared" ref="D3:D34" si="3">D2+1</f>
        <v>2</v>
      </c>
      <c r="E3" s="116">
        <f t="shared" ref="E3:E34" si="4">E2+C2</f>
        <v>12</v>
      </c>
      <c r="F3" s="116">
        <f t="shared" ref="F3:F33" si="5">(E3*C3*2*$A$2/($A$4^2))</f>
        <v>5.7179999999999995E-2</v>
      </c>
      <c r="G3" s="116">
        <f t="shared" si="0"/>
        <v>3.4307999999999996</v>
      </c>
      <c r="H3" s="116">
        <f t="shared" ref="H3:H65" si="6">F3+H4</f>
        <v>95.284215937500008</v>
      </c>
      <c r="I3" s="116">
        <v>198</v>
      </c>
      <c r="J3" s="116">
        <f t="shared" ref="J3:J66" si="7">12200000000*(C3)*((H3/$A$8)^1.852/(I3^4.87))</f>
        <v>0.17938415678677885</v>
      </c>
      <c r="K3" s="116">
        <f t="shared" ref="K3:K34" si="8">K2-J3</f>
        <v>19.641098753978778</v>
      </c>
      <c r="L3" s="116">
        <f>K2-J3-(N3-N2)</f>
        <v>19.84109875397878</v>
      </c>
      <c r="M3" s="116">
        <f t="shared" si="1"/>
        <v>1.9564860480987396</v>
      </c>
      <c r="N3" s="116">
        <f>N2-0.2</f>
        <v>99.8</v>
      </c>
    </row>
    <row r="4" spans="1:15">
      <c r="A4" s="119">
        <v>400</v>
      </c>
      <c r="C4" s="116">
        <f t="shared" si="2"/>
        <v>4</v>
      </c>
      <c r="D4" s="116">
        <f t="shared" si="3"/>
        <v>3</v>
      </c>
      <c r="E4" s="116">
        <f t="shared" si="4"/>
        <v>16</v>
      </c>
      <c r="F4" s="116">
        <f t="shared" si="5"/>
        <v>7.6240000000000002E-2</v>
      </c>
      <c r="G4" s="116">
        <f t="shared" si="0"/>
        <v>4.5743999999999998</v>
      </c>
      <c r="H4" s="116">
        <f t="shared" si="6"/>
        <v>95.227035937500006</v>
      </c>
      <c r="I4" s="116">
        <v>198</v>
      </c>
      <c r="J4" s="116">
        <f t="shared" si="7"/>
        <v>0.17918484305954621</v>
      </c>
      <c r="K4" s="116">
        <f t="shared" si="8"/>
        <v>19.461913910919233</v>
      </c>
      <c r="L4" s="116">
        <f t="shared" ref="L4:L67" si="9">K3-J4-(N4-N3)</f>
        <v>19.661913910919235</v>
      </c>
      <c r="M4" s="116">
        <f t="shared" si="1"/>
        <v>2.2643376175844208</v>
      </c>
      <c r="N4" s="116">
        <f t="shared" ref="N4:N67" si="10">N3-0.2</f>
        <v>99.6</v>
      </c>
    </row>
    <row r="5" spans="1:15">
      <c r="A5" s="120" t="s">
        <v>65</v>
      </c>
      <c r="C5" s="116">
        <f t="shared" si="2"/>
        <v>4</v>
      </c>
      <c r="D5" s="116">
        <f t="shared" si="3"/>
        <v>4</v>
      </c>
      <c r="E5" s="116">
        <f t="shared" si="4"/>
        <v>20</v>
      </c>
      <c r="F5" s="116">
        <f>(E5*C5*2*$A$2/($A$4^2))</f>
        <v>9.5299999999999996E-2</v>
      </c>
      <c r="G5" s="116">
        <f t="shared" si="0"/>
        <v>5.718</v>
      </c>
      <c r="H5" s="116">
        <f t="shared" si="6"/>
        <v>95.150795937500007</v>
      </c>
      <c r="I5" s="116">
        <v>198</v>
      </c>
      <c r="J5" s="116">
        <f t="shared" si="7"/>
        <v>0.17891924999995729</v>
      </c>
      <c r="K5" s="116">
        <f t="shared" si="8"/>
        <v>19.282994660919275</v>
      </c>
      <c r="L5" s="116">
        <f t="shared" si="9"/>
        <v>19.482994660919278</v>
      </c>
      <c r="M5" s="116">
        <f t="shared" si="1"/>
        <v>2.5374585379921135</v>
      </c>
      <c r="N5" s="116">
        <f t="shared" si="10"/>
        <v>99.399999999999991</v>
      </c>
    </row>
    <row r="6" spans="1:15">
      <c r="A6" s="119">
        <v>20</v>
      </c>
      <c r="C6" s="116">
        <f t="shared" si="2"/>
        <v>4</v>
      </c>
      <c r="D6" s="116">
        <f t="shared" si="3"/>
        <v>5</v>
      </c>
      <c r="E6" s="116">
        <f t="shared" si="4"/>
        <v>24</v>
      </c>
      <c r="F6" s="116">
        <f t="shared" si="5"/>
        <v>0.11435999999999999</v>
      </c>
      <c r="G6" s="116">
        <f t="shared" si="0"/>
        <v>6.8615999999999993</v>
      </c>
      <c r="H6" s="116">
        <f t="shared" si="6"/>
        <v>95.055495937500012</v>
      </c>
      <c r="I6" s="116">
        <v>198</v>
      </c>
      <c r="J6" s="116">
        <f t="shared" si="7"/>
        <v>0.17858751356113131</v>
      </c>
      <c r="K6" s="116">
        <f t="shared" si="8"/>
        <v>19.104407147358145</v>
      </c>
      <c r="L6" s="116">
        <f t="shared" si="9"/>
        <v>19.304407147358148</v>
      </c>
      <c r="M6" s="116">
        <f t="shared" si="1"/>
        <v>2.7861199280314479</v>
      </c>
      <c r="N6" s="116">
        <f t="shared" si="10"/>
        <v>99.199999999999989</v>
      </c>
    </row>
    <row r="7" spans="1:15">
      <c r="A7" s="120" t="s">
        <v>71</v>
      </c>
      <c r="C7" s="116">
        <f t="shared" si="2"/>
        <v>4</v>
      </c>
      <c r="D7" s="116">
        <f t="shared" si="3"/>
        <v>6</v>
      </c>
      <c r="E7" s="116">
        <f t="shared" si="4"/>
        <v>28</v>
      </c>
      <c r="F7" s="116">
        <f t="shared" si="5"/>
        <v>0.13342000000000001</v>
      </c>
      <c r="G7" s="116">
        <f t="shared" si="0"/>
        <v>8.0052000000000003</v>
      </c>
      <c r="H7" s="116">
        <f t="shared" si="6"/>
        <v>94.941135937500007</v>
      </c>
      <c r="I7" s="116">
        <v>198</v>
      </c>
      <c r="J7" s="116">
        <f t="shared" si="7"/>
        <v>0.17818980372229326</v>
      </c>
      <c r="K7" s="116">
        <f t="shared" si="8"/>
        <v>18.926217343635852</v>
      </c>
      <c r="L7" s="116">
        <f t="shared" si="9"/>
        <v>19.126217343635854</v>
      </c>
      <c r="M7" s="116">
        <f t="shared" si="1"/>
        <v>3.0164118408533742</v>
      </c>
      <c r="N7" s="116">
        <f t="shared" si="10"/>
        <v>98.999999999999986</v>
      </c>
    </row>
    <row r="8" spans="1:15">
      <c r="A8" s="119">
        <v>130</v>
      </c>
      <c r="C8" s="116">
        <f t="shared" si="2"/>
        <v>4</v>
      </c>
      <c r="D8" s="116">
        <f t="shared" si="3"/>
        <v>7</v>
      </c>
      <c r="E8" s="116">
        <f t="shared" si="4"/>
        <v>32</v>
      </c>
      <c r="F8" s="116">
        <f t="shared" si="5"/>
        <v>0.15248</v>
      </c>
      <c r="G8" s="116">
        <f t="shared" si="0"/>
        <v>9.1487999999999996</v>
      </c>
      <c r="H8" s="116">
        <f t="shared" si="6"/>
        <v>94.807715937500006</v>
      </c>
      <c r="I8" s="116">
        <v>198</v>
      </c>
      <c r="J8" s="116">
        <f t="shared" si="7"/>
        <v>0.17772632451408119</v>
      </c>
      <c r="K8" s="116">
        <f t="shared" si="8"/>
        <v>18.748491019121772</v>
      </c>
      <c r="L8" s="116">
        <f t="shared" si="9"/>
        <v>18.948491019121775</v>
      </c>
      <c r="M8" s="116">
        <f t="shared" si="1"/>
        <v>3.2322949703230055</v>
      </c>
      <c r="N8" s="116">
        <f t="shared" si="10"/>
        <v>98.799999999999983</v>
      </c>
    </row>
    <row r="9" spans="1:15">
      <c r="A9" s="116"/>
      <c r="B9" s="116"/>
      <c r="C9" s="116">
        <f t="shared" si="2"/>
        <v>4</v>
      </c>
      <c r="D9" s="116">
        <f t="shared" si="3"/>
        <v>8</v>
      </c>
      <c r="E9" s="116">
        <f t="shared" si="4"/>
        <v>36</v>
      </c>
      <c r="F9" s="116">
        <f t="shared" si="5"/>
        <v>0.17154</v>
      </c>
      <c r="G9" s="116">
        <f t="shared" si="0"/>
        <v>10.292400000000001</v>
      </c>
      <c r="H9" s="116">
        <f t="shared" si="6"/>
        <v>94.655235937500009</v>
      </c>
      <c r="I9" s="116">
        <v>198</v>
      </c>
      <c r="J9" s="116">
        <f t="shared" si="7"/>
        <v>0.17719731404900438</v>
      </c>
      <c r="K9" s="116">
        <f t="shared" si="8"/>
        <v>18.571293705072769</v>
      </c>
      <c r="L9" s="116">
        <f t="shared" si="9"/>
        <v>18.771293705072772</v>
      </c>
      <c r="M9" s="116">
        <f t="shared" si="1"/>
        <v>3.4365153475390704</v>
      </c>
      <c r="N9" s="116">
        <f t="shared" si="10"/>
        <v>98.59999999999998</v>
      </c>
    </row>
    <row r="10" spans="1:15">
      <c r="A10" s="116"/>
      <c r="B10" s="116"/>
      <c r="C10" s="116">
        <f t="shared" si="2"/>
        <v>4</v>
      </c>
      <c r="D10" s="116">
        <f t="shared" si="3"/>
        <v>9</v>
      </c>
      <c r="E10" s="116">
        <f t="shared" si="4"/>
        <v>40</v>
      </c>
      <c r="F10" s="116">
        <f t="shared" si="5"/>
        <v>0.19059999999999999</v>
      </c>
      <c r="G10" s="116">
        <f t="shared" si="0"/>
        <v>11.436</v>
      </c>
      <c r="H10" s="116">
        <f t="shared" si="6"/>
        <v>94.483695937500016</v>
      </c>
      <c r="I10" s="116">
        <v>198</v>
      </c>
      <c r="J10" s="116">
        <f t="shared" si="7"/>
        <v>0.17660304455710249</v>
      </c>
      <c r="K10" s="116">
        <f t="shared" si="8"/>
        <v>18.394690660515668</v>
      </c>
      <c r="L10" s="116">
        <f t="shared" si="9"/>
        <v>18.594690660515671</v>
      </c>
      <c r="M10" s="116">
        <f t="shared" si="1"/>
        <v>3.6310685715729347</v>
      </c>
      <c r="N10" s="116">
        <f t="shared" si="10"/>
        <v>98.399999999999977</v>
      </c>
    </row>
    <row r="11" spans="1:15">
      <c r="A11" s="116"/>
      <c r="B11" s="116"/>
      <c r="C11" s="116">
        <f t="shared" si="2"/>
        <v>4</v>
      </c>
      <c r="D11" s="116">
        <f t="shared" si="3"/>
        <v>10</v>
      </c>
      <c r="E11" s="116">
        <f t="shared" si="4"/>
        <v>44</v>
      </c>
      <c r="F11" s="116">
        <f t="shared" si="5"/>
        <v>0.20965999999999999</v>
      </c>
      <c r="G11" s="116">
        <f t="shared" si="0"/>
        <v>12.579599999999999</v>
      </c>
      <c r="H11" s="116">
        <f t="shared" si="6"/>
        <v>94.293095937500013</v>
      </c>
      <c r="I11" s="116">
        <v>198</v>
      </c>
      <c r="J11" s="116">
        <f t="shared" si="7"/>
        <v>0.17594382242686438</v>
      </c>
      <c r="K11" s="116">
        <f t="shared" si="8"/>
        <v>18.218746838088805</v>
      </c>
      <c r="L11" s="116">
        <f t="shared" si="9"/>
        <v>18.418746838088808</v>
      </c>
      <c r="M11" s="116">
        <f t="shared" si="1"/>
        <v>3.8174581969361041</v>
      </c>
      <c r="N11" s="116">
        <f t="shared" si="10"/>
        <v>98.199999999999974</v>
      </c>
    </row>
    <row r="12" spans="1:15">
      <c r="A12" s="116"/>
      <c r="B12" s="116"/>
      <c r="C12" s="116">
        <f t="shared" si="2"/>
        <v>4</v>
      </c>
      <c r="D12" s="116">
        <f t="shared" si="3"/>
        <v>11</v>
      </c>
      <c r="E12" s="116">
        <f t="shared" si="4"/>
        <v>48</v>
      </c>
      <c r="F12" s="116">
        <f t="shared" si="5"/>
        <v>0.22871999999999998</v>
      </c>
      <c r="G12" s="116">
        <f t="shared" si="0"/>
        <v>13.723199999999999</v>
      </c>
      <c r="H12" s="116">
        <f t="shared" si="6"/>
        <v>94.083435937500013</v>
      </c>
      <c r="I12" s="116">
        <v>198</v>
      </c>
      <c r="J12" s="116">
        <f t="shared" si="7"/>
        <v>0.17521998825147334</v>
      </c>
      <c r="K12" s="116">
        <f t="shared" si="8"/>
        <v>18.043526849837331</v>
      </c>
      <c r="L12" s="116">
        <f t="shared" si="9"/>
        <v>18.243526849837334</v>
      </c>
      <c r="M12" s="116">
        <f t="shared" si="1"/>
        <v>3.9968498940600252</v>
      </c>
      <c r="N12" s="116">
        <f t="shared" si="10"/>
        <v>97.999999999999972</v>
      </c>
    </row>
    <row r="13" spans="1:15">
      <c r="A13" s="116"/>
      <c r="B13" s="116"/>
      <c r="C13" s="116">
        <f t="shared" si="2"/>
        <v>4</v>
      </c>
      <c r="D13" s="116">
        <f t="shared" si="3"/>
        <v>12</v>
      </c>
      <c r="E13" s="116">
        <f t="shared" si="4"/>
        <v>52</v>
      </c>
      <c r="F13" s="116">
        <f t="shared" si="5"/>
        <v>0.24777999999999997</v>
      </c>
      <c r="G13" s="116">
        <f t="shared" si="0"/>
        <v>14.866799999999998</v>
      </c>
      <c r="H13" s="116">
        <f t="shared" si="6"/>
        <v>93.854715937500018</v>
      </c>
      <c r="I13" s="116">
        <v>198</v>
      </c>
      <c r="J13" s="116">
        <f t="shared" si="7"/>
        <v>0.17443191688045603</v>
      </c>
      <c r="K13" s="116">
        <f t="shared" si="8"/>
        <v>17.869094932956877</v>
      </c>
      <c r="L13" s="116">
        <f t="shared" si="9"/>
        <v>18.06909493295688</v>
      </c>
      <c r="M13" s="116">
        <f t="shared" si="1"/>
        <v>4.1701685612456254</v>
      </c>
      <c r="N13" s="116">
        <f t="shared" si="10"/>
        <v>97.799999999999969</v>
      </c>
    </row>
    <row r="14" spans="1:15">
      <c r="A14" s="116"/>
      <c r="B14" s="116"/>
      <c r="C14" s="116">
        <f t="shared" si="2"/>
        <v>4</v>
      </c>
      <c r="D14" s="116">
        <f t="shared" si="3"/>
        <v>13</v>
      </c>
      <c r="E14" s="116">
        <f t="shared" si="4"/>
        <v>56</v>
      </c>
      <c r="F14" s="116">
        <f t="shared" si="5"/>
        <v>0.26684000000000002</v>
      </c>
      <c r="G14" s="116">
        <f t="shared" si="0"/>
        <v>16.010400000000001</v>
      </c>
      <c r="H14" s="116">
        <f t="shared" si="6"/>
        <v>93.606935937500012</v>
      </c>
      <c r="I14" s="116">
        <v>198</v>
      </c>
      <c r="J14" s="116">
        <f t="shared" si="7"/>
        <v>0.17358001747682092</v>
      </c>
      <c r="K14" s="116">
        <f t="shared" si="8"/>
        <v>17.695514915480057</v>
      </c>
      <c r="L14" s="116">
        <f t="shared" si="9"/>
        <v>17.89551491548006</v>
      </c>
      <c r="M14" s="116">
        <f t="shared" si="1"/>
        <v>4.3381622353884408</v>
      </c>
      <c r="N14" s="116">
        <f t="shared" si="10"/>
        <v>97.599999999999966</v>
      </c>
    </row>
    <row r="15" spans="1:15">
      <c r="A15" s="116"/>
      <c r="B15" s="116"/>
      <c r="C15" s="116">
        <f t="shared" si="2"/>
        <v>4</v>
      </c>
      <c r="D15" s="116">
        <f t="shared" si="3"/>
        <v>14</v>
      </c>
      <c r="E15" s="116">
        <f t="shared" si="4"/>
        <v>60</v>
      </c>
      <c r="F15" s="116">
        <f t="shared" si="5"/>
        <v>0.28589999999999999</v>
      </c>
      <c r="G15" s="116">
        <f t="shared" si="0"/>
        <v>17.154</v>
      </c>
      <c r="H15" s="116">
        <f t="shared" si="6"/>
        <v>93.34009593750001</v>
      </c>
      <c r="I15" s="116">
        <v>198</v>
      </c>
      <c r="J15" s="116">
        <f t="shared" si="7"/>
        <v>0.17266473357978235</v>
      </c>
      <c r="K15" s="116">
        <f t="shared" si="8"/>
        <v>17.522850181900274</v>
      </c>
      <c r="L15" s="116">
        <f t="shared" si="9"/>
        <v>17.722850181900277</v>
      </c>
      <c r="M15" s="116">
        <f t="shared" si="1"/>
        <v>4.5014456955178845</v>
      </c>
      <c r="N15" s="116">
        <f t="shared" si="10"/>
        <v>97.399999999999963</v>
      </c>
    </row>
    <row r="16" spans="1:15">
      <c r="A16" s="116"/>
      <c r="B16" s="116"/>
      <c r="C16" s="116">
        <f t="shared" si="2"/>
        <v>4</v>
      </c>
      <c r="D16" s="116">
        <f t="shared" si="3"/>
        <v>15</v>
      </c>
      <c r="E16" s="116">
        <f t="shared" si="4"/>
        <v>64</v>
      </c>
      <c r="F16" s="116">
        <f t="shared" si="5"/>
        <v>0.30496000000000001</v>
      </c>
      <c r="G16" s="116">
        <f t="shared" si="0"/>
        <v>18.297599999999999</v>
      </c>
      <c r="H16" s="116">
        <f t="shared" si="6"/>
        <v>93.054195937500012</v>
      </c>
      <c r="I16" s="116">
        <v>198</v>
      </c>
      <c r="J16" s="116">
        <f t="shared" si="7"/>
        <v>0.17168654317317716</v>
      </c>
      <c r="K16" s="116">
        <f t="shared" si="8"/>
        <v>17.351163638727098</v>
      </c>
      <c r="L16" s="116">
        <f t="shared" si="9"/>
        <v>17.5511636387271</v>
      </c>
      <c r="M16" s="116">
        <f t="shared" si="1"/>
        <v>4.6605311239032332</v>
      </c>
      <c r="N16" s="116">
        <f t="shared" si="10"/>
        <v>97.19999999999996</v>
      </c>
    </row>
    <row r="17" spans="1:14">
      <c r="A17" s="116"/>
      <c r="B17" s="116"/>
      <c r="C17" s="116">
        <f t="shared" si="2"/>
        <v>4</v>
      </c>
      <c r="D17" s="116">
        <f t="shared" si="3"/>
        <v>16</v>
      </c>
      <c r="E17" s="116">
        <f t="shared" si="4"/>
        <v>68</v>
      </c>
      <c r="F17" s="116">
        <f t="shared" si="5"/>
        <v>0.32401999999999997</v>
      </c>
      <c r="G17" s="116">
        <f t="shared" si="0"/>
        <v>19.441199999999998</v>
      </c>
      <c r="H17" s="116">
        <f t="shared" si="6"/>
        <v>92.749235937500018</v>
      </c>
      <c r="I17" s="116">
        <v>198</v>
      </c>
      <c r="J17" s="116">
        <f t="shared" si="7"/>
        <v>0.17064595875969077</v>
      </c>
      <c r="K17" s="116">
        <f t="shared" si="8"/>
        <v>17.180517679967405</v>
      </c>
      <c r="L17" s="116">
        <f t="shared" si="9"/>
        <v>17.380517679967408</v>
      </c>
      <c r="M17" s="116">
        <f t="shared" si="1"/>
        <v>4.8158502275826276</v>
      </c>
      <c r="N17" s="116">
        <f t="shared" si="10"/>
        <v>96.999999999999957</v>
      </c>
    </row>
    <row r="18" spans="1:14">
      <c r="A18" s="116"/>
      <c r="B18" s="116"/>
      <c r="C18" s="116">
        <f t="shared" si="2"/>
        <v>4</v>
      </c>
      <c r="D18" s="116">
        <f t="shared" si="3"/>
        <v>17</v>
      </c>
      <c r="E18" s="116">
        <f t="shared" si="4"/>
        <v>72</v>
      </c>
      <c r="F18" s="116">
        <f t="shared" si="5"/>
        <v>0.34308</v>
      </c>
      <c r="G18" s="116">
        <f t="shared" si="0"/>
        <v>20.584800000000001</v>
      </c>
      <c r="H18" s="116">
        <f t="shared" si="6"/>
        <v>92.425215937500013</v>
      </c>
      <c r="I18" s="116">
        <v>198</v>
      </c>
      <c r="J18" s="116">
        <f t="shared" si="7"/>
        <v>0.16954352744102086</v>
      </c>
      <c r="K18" s="116">
        <f t="shared" si="8"/>
        <v>17.010974152526384</v>
      </c>
      <c r="L18" s="116">
        <f t="shared" si="9"/>
        <v>17.210974152526386</v>
      </c>
      <c r="M18" s="116">
        <f t="shared" si="1"/>
        <v>4.9677705559758385</v>
      </c>
      <c r="N18" s="116">
        <f t="shared" si="10"/>
        <v>96.799999999999955</v>
      </c>
    </row>
    <row r="19" spans="1:14">
      <c r="A19" s="116"/>
      <c r="B19" s="116"/>
      <c r="C19" s="116">
        <f t="shared" si="2"/>
        <v>4</v>
      </c>
      <c r="D19" s="116">
        <f t="shared" si="3"/>
        <v>18</v>
      </c>
      <c r="E19" s="116">
        <f t="shared" si="4"/>
        <v>76</v>
      </c>
      <c r="F19" s="116">
        <f t="shared" si="5"/>
        <v>0.36214000000000002</v>
      </c>
      <c r="G19" s="116">
        <f t="shared" si="0"/>
        <v>21.728400000000001</v>
      </c>
      <c r="H19" s="116">
        <f t="shared" si="6"/>
        <v>92.082135937500013</v>
      </c>
      <c r="I19" s="116">
        <v>198</v>
      </c>
      <c r="J19" s="116">
        <f t="shared" si="7"/>
        <v>0.16837983100411982</v>
      </c>
      <c r="K19" s="116">
        <f t="shared" si="8"/>
        <v>16.842594321522263</v>
      </c>
      <c r="L19" s="116">
        <f t="shared" si="9"/>
        <v>17.042594321522266</v>
      </c>
      <c r="M19" s="116">
        <f t="shared" si="1"/>
        <v>5.1166077715153166</v>
      </c>
      <c r="N19" s="116">
        <f t="shared" si="10"/>
        <v>96.599999999999952</v>
      </c>
    </row>
    <row r="20" spans="1:14">
      <c r="A20" s="116"/>
      <c r="B20" s="116"/>
      <c r="C20" s="116">
        <f t="shared" si="2"/>
        <v>4</v>
      </c>
      <c r="D20" s="116">
        <f t="shared" si="3"/>
        <v>19</v>
      </c>
      <c r="E20" s="116">
        <f t="shared" si="4"/>
        <v>80</v>
      </c>
      <c r="F20" s="116">
        <f t="shared" si="5"/>
        <v>0.38119999999999998</v>
      </c>
      <c r="G20" s="116">
        <f t="shared" si="0"/>
        <v>22.872</v>
      </c>
      <c r="H20" s="116">
        <f t="shared" si="6"/>
        <v>91.719995937500016</v>
      </c>
      <c r="I20" s="116">
        <v>198</v>
      </c>
      <c r="J20" s="116">
        <f t="shared" si="7"/>
        <v>0.16715548601366781</v>
      </c>
      <c r="K20" s="116">
        <f t="shared" si="8"/>
        <v>16.675438835508594</v>
      </c>
      <c r="L20" s="116">
        <f t="shared" si="9"/>
        <v>16.875438835508596</v>
      </c>
      <c r="M20" s="116">
        <f t="shared" si="1"/>
        <v>5.2626350345131714</v>
      </c>
      <c r="N20" s="116">
        <f t="shared" si="10"/>
        <v>96.399999999999949</v>
      </c>
    </row>
    <row r="21" spans="1:14">
      <c r="A21" s="116"/>
      <c r="B21" s="116"/>
      <c r="C21" s="116">
        <f t="shared" si="2"/>
        <v>4</v>
      </c>
      <c r="D21" s="116">
        <f t="shared" si="3"/>
        <v>20</v>
      </c>
      <c r="E21" s="116">
        <f t="shared" si="4"/>
        <v>84</v>
      </c>
      <c r="F21" s="116">
        <f t="shared" si="5"/>
        <v>0.40026</v>
      </c>
      <c r="G21" s="116">
        <f t="shared" si="0"/>
        <v>24.015599999999999</v>
      </c>
      <c r="H21" s="116">
        <f t="shared" si="6"/>
        <v>91.338795937500009</v>
      </c>
      <c r="I21" s="116">
        <v>198</v>
      </c>
      <c r="J21" s="116">
        <f t="shared" si="7"/>
        <v>0.16587114391094263</v>
      </c>
      <c r="K21" s="116">
        <f t="shared" si="8"/>
        <v>16.509567691597653</v>
      </c>
      <c r="L21" s="116">
        <f t="shared" si="9"/>
        <v>16.709567691597655</v>
      </c>
      <c r="M21" s="116">
        <f t="shared" si="1"/>
        <v>5.4060902893020382</v>
      </c>
      <c r="N21" s="116">
        <f t="shared" si="10"/>
        <v>96.199999999999946</v>
      </c>
    </row>
    <row r="22" spans="1:14">
      <c r="A22" s="116"/>
      <c r="B22" s="116"/>
      <c r="C22" s="116">
        <f t="shared" si="2"/>
        <v>4</v>
      </c>
      <c r="D22" s="116">
        <f t="shared" si="3"/>
        <v>21</v>
      </c>
      <c r="E22" s="116">
        <f t="shared" si="4"/>
        <v>88</v>
      </c>
      <c r="F22" s="116">
        <f t="shared" si="5"/>
        <v>0.41931999999999997</v>
      </c>
      <c r="G22" s="116">
        <f t="shared" si="0"/>
        <v>25.159199999999998</v>
      </c>
      <c r="H22" s="116">
        <f t="shared" si="6"/>
        <v>90.938535937500006</v>
      </c>
      <c r="I22" s="116">
        <v>198</v>
      </c>
      <c r="J22" s="116">
        <f t="shared" si="7"/>
        <v>0.1645274911192659</v>
      </c>
      <c r="K22" s="116">
        <f t="shared" si="8"/>
        <v>16.345040200478387</v>
      </c>
      <c r="L22" s="116">
        <f t="shared" si="9"/>
        <v>16.54504020047839</v>
      </c>
      <c r="M22" s="116">
        <f t="shared" si="1"/>
        <v>5.5471819970749356</v>
      </c>
      <c r="N22" s="116">
        <f t="shared" si="10"/>
        <v>95.999999999999943</v>
      </c>
    </row>
    <row r="23" spans="1:14">
      <c r="A23" s="116"/>
      <c r="B23" s="116"/>
      <c r="C23" s="116">
        <f t="shared" si="2"/>
        <v>4</v>
      </c>
      <c r="D23" s="116">
        <f t="shared" si="3"/>
        <v>22</v>
      </c>
      <c r="E23" s="116">
        <f t="shared" si="4"/>
        <v>92</v>
      </c>
      <c r="F23" s="116">
        <f t="shared" si="5"/>
        <v>0.43837999999999999</v>
      </c>
      <c r="G23" s="116">
        <f t="shared" si="0"/>
        <v>26.302799999999998</v>
      </c>
      <c r="H23" s="116">
        <f t="shared" si="6"/>
        <v>90.519215937500007</v>
      </c>
      <c r="I23" s="116">
        <v>198</v>
      </c>
      <c r="J23" s="116">
        <f t="shared" si="7"/>
        <v>0.16312524915621993</v>
      </c>
      <c r="K23" s="116">
        <f t="shared" si="8"/>
        <v>16.181914951322167</v>
      </c>
      <c r="L23" s="116">
        <f t="shared" si="9"/>
        <v>16.38191495132217</v>
      </c>
      <c r="M23" s="116">
        <f t="shared" si="1"/>
        <v>5.6860937009714174</v>
      </c>
      <c r="N23" s="116">
        <f t="shared" si="10"/>
        <v>95.79999999999994</v>
      </c>
    </row>
    <row r="24" spans="1:14">
      <c r="A24" s="116"/>
      <c r="B24" s="116"/>
      <c r="C24" s="116">
        <f t="shared" si="2"/>
        <v>4</v>
      </c>
      <c r="D24" s="116">
        <f t="shared" si="3"/>
        <v>23</v>
      </c>
      <c r="E24" s="116">
        <f t="shared" si="4"/>
        <v>96</v>
      </c>
      <c r="F24" s="116">
        <f t="shared" si="5"/>
        <v>0.45743999999999996</v>
      </c>
      <c r="G24" s="116">
        <f t="shared" si="0"/>
        <v>27.446399999999997</v>
      </c>
      <c r="H24" s="116">
        <f t="shared" si="6"/>
        <v>90.080835937500012</v>
      </c>
      <c r="I24" s="116">
        <v>198</v>
      </c>
      <c r="J24" s="116">
        <f t="shared" si="7"/>
        <v>0.16166517475284489</v>
      </c>
      <c r="K24" s="116">
        <f t="shared" si="8"/>
        <v>16.020249776569322</v>
      </c>
      <c r="L24" s="116">
        <f t="shared" si="9"/>
        <v>16.220249776569325</v>
      </c>
      <c r="M24" s="116">
        <f t="shared" si="1"/>
        <v>5.822987700829116</v>
      </c>
      <c r="N24" s="116">
        <f t="shared" si="10"/>
        <v>95.599999999999937</v>
      </c>
    </row>
    <row r="25" spans="1:14">
      <c r="A25" s="116"/>
      <c r="B25" s="116"/>
      <c r="C25" s="116">
        <f t="shared" si="2"/>
        <v>4</v>
      </c>
      <c r="D25" s="116">
        <f t="shared" si="3"/>
        <v>24</v>
      </c>
      <c r="E25" s="116">
        <f t="shared" si="4"/>
        <v>100</v>
      </c>
      <c r="F25" s="116">
        <f t="shared" si="5"/>
        <v>0.47649999999999998</v>
      </c>
      <c r="G25" s="116">
        <f t="shared" si="0"/>
        <v>28.59</v>
      </c>
      <c r="H25" s="116">
        <f t="shared" si="6"/>
        <v>89.623395937500007</v>
      </c>
      <c r="I25" s="116">
        <v>198</v>
      </c>
      <c r="J25" s="116">
        <f t="shared" si="7"/>
        <v>0.1601480599800422</v>
      </c>
      <c r="K25" s="116">
        <f t="shared" si="8"/>
        <v>15.860101716589281</v>
      </c>
      <c r="L25" s="116">
        <f t="shared" si="9"/>
        <v>16.060101716589283</v>
      </c>
      <c r="M25" s="116">
        <f t="shared" si="1"/>
        <v>5.95800804044306</v>
      </c>
      <c r="N25" s="116">
        <f t="shared" si="10"/>
        <v>95.399999999999935</v>
      </c>
    </row>
    <row r="26" spans="1:14">
      <c r="A26" s="116"/>
      <c r="B26" s="116"/>
      <c r="C26" s="116">
        <f t="shared" si="2"/>
        <v>4</v>
      </c>
      <c r="D26" s="116">
        <f t="shared" si="3"/>
        <v>25</v>
      </c>
      <c r="E26" s="116">
        <f t="shared" si="4"/>
        <v>104</v>
      </c>
      <c r="F26" s="116">
        <f t="shared" si="5"/>
        <v>0.49555999999999994</v>
      </c>
      <c r="G26" s="116">
        <f t="shared" si="0"/>
        <v>29.733599999999996</v>
      </c>
      <c r="H26" s="116">
        <f t="shared" si="6"/>
        <v>89.146895937500005</v>
      </c>
      <c r="I26" s="116">
        <v>198</v>
      </c>
      <c r="J26" s="116">
        <f t="shared" si="7"/>
        <v>0.15857473238242964</v>
      </c>
      <c r="K26" s="116">
        <f t="shared" si="8"/>
        <v>15.701526984206851</v>
      </c>
      <c r="L26" s="116">
        <f t="shared" si="9"/>
        <v>15.901526984206853</v>
      </c>
      <c r="M26" s="116">
        <f t="shared" si="1"/>
        <v>6.0912829578203125</v>
      </c>
      <c r="N26" s="116">
        <f t="shared" si="10"/>
        <v>95.199999999999932</v>
      </c>
    </row>
    <row r="27" spans="1:14">
      <c r="A27" s="116"/>
      <c r="B27" s="116"/>
      <c r="C27" s="116">
        <f t="shared" si="2"/>
        <v>4</v>
      </c>
      <c r="D27" s="116">
        <f t="shared" si="3"/>
        <v>26</v>
      </c>
      <c r="E27" s="116">
        <f t="shared" si="4"/>
        <v>108</v>
      </c>
      <c r="F27" s="116">
        <f t="shared" si="5"/>
        <v>0.51461999999999997</v>
      </c>
      <c r="G27" s="116">
        <f t="shared" si="0"/>
        <v>30.877199999999998</v>
      </c>
      <c r="H27" s="116">
        <f t="shared" si="6"/>
        <v>88.651335937500008</v>
      </c>
      <c r="I27" s="116">
        <v>198</v>
      </c>
      <c r="J27" s="116">
        <f t="shared" si="7"/>
        <v>0.15694605511990789</v>
      </c>
      <c r="K27" s="116">
        <f t="shared" si="8"/>
        <v>15.544580929086942</v>
      </c>
      <c r="L27" s="116">
        <f t="shared" si="9"/>
        <v>15.744580929086945</v>
      </c>
      <c r="M27" s="116">
        <f t="shared" si="1"/>
        <v>6.2229269115677406</v>
      </c>
      <c r="N27" s="116">
        <f t="shared" si="10"/>
        <v>94.999999999999929</v>
      </c>
    </row>
    <row r="28" spans="1:14">
      <c r="A28" s="116"/>
      <c r="B28" s="116"/>
      <c r="C28" s="116">
        <f t="shared" si="2"/>
        <v>4</v>
      </c>
      <c r="D28" s="116">
        <f t="shared" si="3"/>
        <v>27</v>
      </c>
      <c r="E28" s="116">
        <f t="shared" si="4"/>
        <v>112</v>
      </c>
      <c r="F28" s="116">
        <f t="shared" si="5"/>
        <v>0.53368000000000004</v>
      </c>
      <c r="G28" s="116">
        <f t="shared" si="0"/>
        <v>32.020800000000001</v>
      </c>
      <c r="H28" s="116">
        <f t="shared" si="6"/>
        <v>88.136715937500014</v>
      </c>
      <c r="I28" s="116">
        <v>198</v>
      </c>
      <c r="J28" s="116">
        <f t="shared" si="7"/>
        <v>0.15526292711722525</v>
      </c>
      <c r="K28" s="116">
        <f t="shared" si="8"/>
        <v>15.389318001969716</v>
      </c>
      <c r="L28" s="116">
        <f t="shared" si="9"/>
        <v>15.589318001969719</v>
      </c>
      <c r="M28" s="116">
        <f t="shared" si="1"/>
        <v>6.3530422695122883</v>
      </c>
      <c r="N28" s="116">
        <f t="shared" si="10"/>
        <v>94.799999999999926</v>
      </c>
    </row>
    <row r="29" spans="1:14">
      <c r="A29" s="116"/>
      <c r="B29" s="116"/>
      <c r="C29" s="116">
        <v>4</v>
      </c>
      <c r="D29" s="116">
        <f t="shared" si="3"/>
        <v>28</v>
      </c>
      <c r="E29" s="116">
        <f t="shared" si="4"/>
        <v>116</v>
      </c>
      <c r="F29" s="116">
        <f t="shared" si="5"/>
        <v>0.55274000000000001</v>
      </c>
      <c r="G29" s="116">
        <f t="shared" si="0"/>
        <v>33.164400000000001</v>
      </c>
      <c r="H29" s="116">
        <f t="shared" si="6"/>
        <v>87.60303593750001</v>
      </c>
      <c r="I29" s="116">
        <v>198</v>
      </c>
      <c r="J29" s="116">
        <f t="shared" si="7"/>
        <v>0.15352628322184084</v>
      </c>
      <c r="K29" s="116">
        <f t="shared" si="8"/>
        <v>15.235791718747876</v>
      </c>
      <c r="L29" s="116">
        <f t="shared" si="9"/>
        <v>15.435791718747879</v>
      </c>
      <c r="M29" s="116">
        <f t="shared" si="1"/>
        <v>6.4817207258150464</v>
      </c>
      <c r="N29" s="116">
        <f t="shared" si="10"/>
        <v>94.599999999999923</v>
      </c>
    </row>
    <row r="30" spans="1:14">
      <c r="A30" s="116"/>
      <c r="B30" s="116"/>
      <c r="C30" s="116">
        <v>4</v>
      </c>
      <c r="D30" s="116">
        <f t="shared" si="3"/>
        <v>29</v>
      </c>
      <c r="E30" s="116">
        <f t="shared" si="4"/>
        <v>120</v>
      </c>
      <c r="F30" s="116">
        <f t="shared" si="5"/>
        <v>0.57179999999999997</v>
      </c>
      <c r="G30" s="116">
        <f t="shared" si="0"/>
        <v>34.308</v>
      </c>
      <c r="H30" s="116">
        <f t="shared" si="6"/>
        <v>87.05029593750001</v>
      </c>
      <c r="I30" s="116">
        <v>198</v>
      </c>
      <c r="J30" s="116">
        <f t="shared" si="7"/>
        <v>0.15173709437041774</v>
      </c>
      <c r="K30" s="116">
        <f t="shared" si="8"/>
        <v>15.084054624377458</v>
      </c>
      <c r="L30" s="116">
        <f t="shared" si="9"/>
        <v>15.284054624377461</v>
      </c>
      <c r="M30" s="116">
        <f t="shared" si="1"/>
        <v>6.6090444981046312</v>
      </c>
      <c r="N30" s="116">
        <f t="shared" si="10"/>
        <v>94.39999999999992</v>
      </c>
    </row>
    <row r="31" spans="1:14">
      <c r="A31" s="116"/>
      <c r="B31" s="116"/>
      <c r="C31" s="116">
        <v>4</v>
      </c>
      <c r="D31" s="116">
        <f t="shared" si="3"/>
        <v>30</v>
      </c>
      <c r="E31" s="116">
        <f t="shared" si="4"/>
        <v>124</v>
      </c>
      <c r="F31" s="116">
        <f t="shared" si="5"/>
        <v>0.59085999999999994</v>
      </c>
      <c r="G31" s="116">
        <f t="shared" si="0"/>
        <v>35.451599999999999</v>
      </c>
      <c r="H31" s="116">
        <f t="shared" si="6"/>
        <v>86.478495937500014</v>
      </c>
      <c r="I31" s="116">
        <v>198</v>
      </c>
      <c r="J31" s="116">
        <f t="shared" si="7"/>
        <v>0.14989636776429474</v>
      </c>
      <c r="K31" s="116">
        <f t="shared" si="8"/>
        <v>14.934158256613163</v>
      </c>
      <c r="L31" s="116">
        <f t="shared" si="9"/>
        <v>15.134158256613166</v>
      </c>
      <c r="M31" s="116">
        <f t="shared" si="1"/>
        <v>6.7350873450844313</v>
      </c>
      <c r="N31" s="116">
        <f t="shared" si="10"/>
        <v>94.199999999999918</v>
      </c>
    </row>
    <row r="32" spans="1:14">
      <c r="A32" s="116"/>
      <c r="B32" s="116"/>
      <c r="C32" s="116">
        <v>4</v>
      </c>
      <c r="D32" s="116">
        <f t="shared" si="3"/>
        <v>31</v>
      </c>
      <c r="E32" s="116">
        <f t="shared" si="4"/>
        <v>128</v>
      </c>
      <c r="F32" s="116">
        <f t="shared" si="5"/>
        <v>0.60992000000000002</v>
      </c>
      <c r="G32" s="116">
        <f t="shared" si="0"/>
        <v>36.595199999999998</v>
      </c>
      <c r="H32" s="116">
        <f t="shared" si="6"/>
        <v>85.887635937500008</v>
      </c>
      <c r="I32" s="116">
        <v>198</v>
      </c>
      <c r="J32" s="116">
        <f t="shared" si="7"/>
        <v>0.14800514705431927</v>
      </c>
      <c r="K32" s="116">
        <f t="shared" si="8"/>
        <v>14.786153109558844</v>
      </c>
      <c r="L32" s="116">
        <f t="shared" si="9"/>
        <v>14.986153109558847</v>
      </c>
      <c r="M32" s="116">
        <f t="shared" si="1"/>
        <v>6.8599154366627735</v>
      </c>
      <c r="N32" s="116">
        <f t="shared" si="10"/>
        <v>93.999999999999915</v>
      </c>
    </row>
    <row r="33" spans="1:14">
      <c r="A33" s="116"/>
      <c r="B33" s="116"/>
      <c r="C33" s="116">
        <v>4</v>
      </c>
      <c r="D33" s="116">
        <f t="shared" si="3"/>
        <v>32</v>
      </c>
      <c r="E33" s="116">
        <f t="shared" si="4"/>
        <v>132</v>
      </c>
      <c r="F33" s="116">
        <f t="shared" si="5"/>
        <v>0.62897999999999998</v>
      </c>
      <c r="G33" s="116">
        <f t="shared" si="0"/>
        <v>37.738799999999998</v>
      </c>
      <c r="H33" s="116">
        <f t="shared" si="6"/>
        <v>85.277715937500005</v>
      </c>
      <c r="I33" s="116">
        <v>198</v>
      </c>
      <c r="J33" s="116">
        <f t="shared" si="7"/>
        <v>0.14606451253544808</v>
      </c>
      <c r="K33" s="116">
        <f t="shared" si="8"/>
        <v>14.640088597023396</v>
      </c>
      <c r="L33" s="116">
        <f t="shared" si="9"/>
        <v>14.840088597023399</v>
      </c>
      <c r="M33" s="116">
        <f t="shared" si="1"/>
        <v>6.9835881022104713</v>
      </c>
      <c r="N33" s="116">
        <f t="shared" si="10"/>
        <v>93.799999999999912</v>
      </c>
    </row>
    <row r="34" spans="1:14">
      <c r="A34" s="116"/>
      <c r="B34" s="116"/>
      <c r="C34" s="116">
        <v>4</v>
      </c>
      <c r="D34" s="116">
        <f t="shared" si="3"/>
        <v>33</v>
      </c>
      <c r="E34" s="116">
        <f t="shared" si="4"/>
        <v>136</v>
      </c>
      <c r="F34" s="116">
        <f t="shared" ref="F34:F65" si="11">(E34*C34*2*$A$2/($A$4^2))</f>
        <v>0.64803999999999995</v>
      </c>
      <c r="G34" s="116">
        <f t="shared" ref="G34:G65" si="12">(E34*C34*2*$A$2/($A$4^2))*60</f>
        <v>38.882399999999997</v>
      </c>
      <c r="H34" s="116">
        <f t="shared" si="6"/>
        <v>84.648735937500007</v>
      </c>
      <c r="I34" s="116">
        <v>198</v>
      </c>
      <c r="J34" s="116">
        <f t="shared" si="7"/>
        <v>0.14407558135155465</v>
      </c>
      <c r="K34" s="116">
        <f t="shared" si="8"/>
        <v>14.496013015671842</v>
      </c>
      <c r="L34" s="116">
        <f t="shared" si="9"/>
        <v>14.696013015671845</v>
      </c>
      <c r="M34" s="116">
        <f t="shared" ref="M34:M65" si="13">(F34*60/(0.0666*(K34*9.8)^0.5*0.97))^0.5</f>
        <v>7.1061584775639384</v>
      </c>
      <c r="N34" s="116">
        <f t="shared" si="10"/>
        <v>93.599999999999909</v>
      </c>
    </row>
    <row r="35" spans="1:14">
      <c r="A35" s="116"/>
      <c r="B35" s="116"/>
      <c r="C35" s="116">
        <v>4</v>
      </c>
      <c r="D35" s="116">
        <f t="shared" ref="D35:D66" si="14">D34+1</f>
        <v>34</v>
      </c>
      <c r="E35" s="116">
        <f t="shared" ref="E35:E66" si="15">E34+C34</f>
        <v>140</v>
      </c>
      <c r="F35" s="116">
        <f t="shared" si="11"/>
        <v>0.66710000000000003</v>
      </c>
      <c r="G35" s="116">
        <f t="shared" si="12"/>
        <v>40.026000000000003</v>
      </c>
      <c r="H35" s="116">
        <f t="shared" si="6"/>
        <v>84.000695937500012</v>
      </c>
      <c r="I35" s="116">
        <v>198</v>
      </c>
      <c r="J35" s="116">
        <f t="shared" si="7"/>
        <v>0.14203950771091872</v>
      </c>
      <c r="K35" s="116">
        <f t="shared" ref="K35:K66" si="16">K34-J35</f>
        <v>14.353973507960923</v>
      </c>
      <c r="L35" s="116">
        <f t="shared" si="9"/>
        <v>14.553973507960926</v>
      </c>
      <c r="M35" s="116">
        <f t="shared" si="13"/>
        <v>7.2276740675010887</v>
      </c>
      <c r="N35" s="116">
        <f t="shared" si="10"/>
        <v>93.399999999999906</v>
      </c>
    </row>
    <row r="36" spans="1:14">
      <c r="A36" s="116"/>
      <c r="B36" s="116"/>
      <c r="C36" s="116">
        <v>4</v>
      </c>
      <c r="D36" s="116">
        <f t="shared" si="14"/>
        <v>35</v>
      </c>
      <c r="E36" s="116">
        <f t="shared" si="15"/>
        <v>144</v>
      </c>
      <c r="F36" s="116">
        <f t="shared" si="11"/>
        <v>0.68615999999999999</v>
      </c>
      <c r="G36" s="116">
        <f t="shared" si="12"/>
        <v>41.169600000000003</v>
      </c>
      <c r="H36" s="116">
        <f t="shared" si="6"/>
        <v>83.333595937500007</v>
      </c>
      <c r="I36" s="116">
        <v>198</v>
      </c>
      <c r="J36" s="116">
        <f t="shared" si="7"/>
        <v>0.13995748311290679</v>
      </c>
      <c r="K36" s="116">
        <f t="shared" si="16"/>
        <v>14.214016024848016</v>
      </c>
      <c r="L36" s="116">
        <f t="shared" si="9"/>
        <v>14.414016024848019</v>
      </c>
      <c r="M36" s="116">
        <f t="shared" si="13"/>
        <v>7.3481772373565262</v>
      </c>
      <c r="N36" s="116">
        <f t="shared" si="10"/>
        <v>93.199999999999903</v>
      </c>
    </row>
    <row r="37" spans="1:14">
      <c r="A37" s="116"/>
      <c r="B37" s="116"/>
      <c r="C37" s="116">
        <v>4</v>
      </c>
      <c r="D37" s="116">
        <f t="shared" si="14"/>
        <v>36</v>
      </c>
      <c r="E37" s="116">
        <f t="shared" si="15"/>
        <v>148</v>
      </c>
      <c r="F37" s="116">
        <f t="shared" si="11"/>
        <v>0.70521999999999996</v>
      </c>
      <c r="G37" s="116">
        <f t="shared" si="12"/>
        <v>42.313199999999995</v>
      </c>
      <c r="H37" s="116">
        <f t="shared" si="6"/>
        <v>82.647435937500006</v>
      </c>
      <c r="I37" s="116">
        <v>198</v>
      </c>
      <c r="J37" s="116">
        <f t="shared" si="7"/>
        <v>0.13783073658639408</v>
      </c>
      <c r="K37" s="116">
        <f t="shared" si="16"/>
        <v>14.076185288261621</v>
      </c>
      <c r="L37" s="116">
        <f t="shared" si="9"/>
        <v>14.276185288261624</v>
      </c>
      <c r="M37" s="116">
        <f t="shared" si="13"/>
        <v>7.4677056450167365</v>
      </c>
      <c r="N37" s="116">
        <f t="shared" si="10"/>
        <v>92.999999999999901</v>
      </c>
    </row>
    <row r="38" spans="1:14">
      <c r="A38" s="116"/>
      <c r="B38" s="116"/>
      <c r="C38" s="116">
        <v>4</v>
      </c>
      <c r="D38" s="116">
        <f t="shared" si="14"/>
        <v>37</v>
      </c>
      <c r="E38" s="116">
        <f t="shared" si="15"/>
        <v>152</v>
      </c>
      <c r="F38" s="116">
        <f t="shared" si="11"/>
        <v>0.72428000000000003</v>
      </c>
      <c r="G38" s="116">
        <f t="shared" si="12"/>
        <v>43.456800000000001</v>
      </c>
      <c r="H38" s="116">
        <f t="shared" si="6"/>
        <v>81.942215937500009</v>
      </c>
      <c r="I38" s="116">
        <v>198</v>
      </c>
      <c r="J38" s="116">
        <f t="shared" si="7"/>
        <v>0.13566053494052194</v>
      </c>
      <c r="K38" s="116">
        <f t="shared" si="16"/>
        <v>13.9405247533211</v>
      </c>
      <c r="L38" s="116">
        <f t="shared" si="9"/>
        <v>14.140524753321102</v>
      </c>
      <c r="M38" s="116">
        <f t="shared" si="13"/>
        <v>7.5862926225994674</v>
      </c>
      <c r="N38" s="116">
        <f t="shared" si="10"/>
        <v>92.799999999999898</v>
      </c>
    </row>
    <row r="39" spans="1:14">
      <c r="A39" s="116"/>
      <c r="B39" s="116"/>
      <c r="C39" s="116">
        <v>4</v>
      </c>
      <c r="D39" s="116">
        <f t="shared" si="14"/>
        <v>38</v>
      </c>
      <c r="E39" s="116">
        <f t="shared" si="15"/>
        <v>156</v>
      </c>
      <c r="F39" s="116">
        <f t="shared" si="11"/>
        <v>0.74334</v>
      </c>
      <c r="G39" s="116">
        <f t="shared" si="12"/>
        <v>44.6004</v>
      </c>
      <c r="H39" s="116">
        <f t="shared" si="6"/>
        <v>81.217935937500016</v>
      </c>
      <c r="I39" s="116">
        <v>198</v>
      </c>
      <c r="J39" s="116">
        <f t="shared" si="7"/>
        <v>0.13344818302843209</v>
      </c>
      <c r="K39" s="116">
        <f t="shared" si="16"/>
        <v>13.807076570292667</v>
      </c>
      <c r="L39" s="116">
        <f t="shared" si="9"/>
        <v>14.00707657029267</v>
      </c>
      <c r="M39" s="116">
        <f t="shared" si="13"/>
        <v>7.703967515565072</v>
      </c>
      <c r="N39" s="116">
        <f t="shared" si="10"/>
        <v>92.599999999999895</v>
      </c>
    </row>
    <row r="40" spans="1:14">
      <c r="A40" s="116"/>
      <c r="B40" s="116"/>
      <c r="C40" s="116">
        <v>3</v>
      </c>
      <c r="D40" s="116">
        <f t="shared" si="14"/>
        <v>39</v>
      </c>
      <c r="E40" s="116">
        <f t="shared" si="15"/>
        <v>160</v>
      </c>
      <c r="F40" s="116">
        <f t="shared" si="11"/>
        <v>0.57179999999999997</v>
      </c>
      <c r="G40" s="116">
        <f t="shared" si="12"/>
        <v>34.308</v>
      </c>
      <c r="H40" s="116">
        <f t="shared" si="6"/>
        <v>80.474595937500013</v>
      </c>
      <c r="I40" s="116">
        <v>198</v>
      </c>
      <c r="J40" s="116">
        <f t="shared" si="7"/>
        <v>9.8396268018502389E-2</v>
      </c>
      <c r="K40" s="116">
        <f t="shared" si="16"/>
        <v>13.708680302274164</v>
      </c>
      <c r="L40" s="116">
        <f t="shared" si="9"/>
        <v>13.908680302274167</v>
      </c>
      <c r="M40" s="116">
        <f t="shared" si="13"/>
        <v>6.7689185447363318</v>
      </c>
      <c r="N40" s="116">
        <f t="shared" si="10"/>
        <v>92.399999999999892</v>
      </c>
    </row>
    <row r="41" spans="1:14">
      <c r="A41" s="116"/>
      <c r="B41" s="116"/>
      <c r="C41" s="116">
        <v>3</v>
      </c>
      <c r="D41" s="116">
        <f t="shared" si="14"/>
        <v>40</v>
      </c>
      <c r="E41" s="116">
        <f t="shared" si="15"/>
        <v>163</v>
      </c>
      <c r="F41" s="116">
        <f t="shared" si="11"/>
        <v>0.58252124999999999</v>
      </c>
      <c r="G41" s="116">
        <f t="shared" si="12"/>
        <v>34.951275000000003</v>
      </c>
      <c r="H41" s="116">
        <f t="shared" si="6"/>
        <v>79.902795937500017</v>
      </c>
      <c r="I41" s="116">
        <v>198</v>
      </c>
      <c r="J41" s="116">
        <f t="shared" si="7"/>
        <v>9.7105381865624993E-2</v>
      </c>
      <c r="K41" s="116">
        <f t="shared" si="16"/>
        <v>13.61157492040854</v>
      </c>
      <c r="L41" s="116">
        <f t="shared" si="9"/>
        <v>13.811574920408543</v>
      </c>
      <c r="M41" s="116">
        <f t="shared" si="13"/>
        <v>6.8442350570994117</v>
      </c>
      <c r="N41" s="116">
        <f t="shared" si="10"/>
        <v>92.199999999999889</v>
      </c>
    </row>
    <row r="42" spans="1:14">
      <c r="A42" s="116"/>
      <c r="B42" s="116"/>
      <c r="C42" s="116">
        <f t="shared" ref="C42:C56" si="17">E42-E41</f>
        <v>3</v>
      </c>
      <c r="D42" s="116">
        <f t="shared" si="14"/>
        <v>41</v>
      </c>
      <c r="E42" s="116">
        <f t="shared" si="15"/>
        <v>166</v>
      </c>
      <c r="F42" s="116">
        <f t="shared" si="11"/>
        <v>0.59324250000000001</v>
      </c>
      <c r="G42" s="116">
        <f t="shared" si="12"/>
        <v>35.594549999999998</v>
      </c>
      <c r="H42" s="116">
        <f t="shared" si="6"/>
        <v>79.320274687500017</v>
      </c>
      <c r="I42" s="116">
        <v>198</v>
      </c>
      <c r="J42" s="116">
        <f t="shared" si="7"/>
        <v>9.5798360446387468E-2</v>
      </c>
      <c r="K42" s="116">
        <f t="shared" si="16"/>
        <v>13.515776559962152</v>
      </c>
      <c r="L42" s="116">
        <f t="shared" si="9"/>
        <v>13.715776559962155</v>
      </c>
      <c r="M42" s="116">
        <f t="shared" si="13"/>
        <v>6.9191381485637482</v>
      </c>
      <c r="N42" s="116">
        <f t="shared" si="10"/>
        <v>91.999999999999886</v>
      </c>
    </row>
    <row r="43" spans="1:14">
      <c r="A43" s="116"/>
      <c r="B43" s="116"/>
      <c r="C43" s="116">
        <f t="shared" si="17"/>
        <v>3</v>
      </c>
      <c r="D43" s="116">
        <f t="shared" si="14"/>
        <v>42</v>
      </c>
      <c r="E43" s="116">
        <f t="shared" si="15"/>
        <v>169</v>
      </c>
      <c r="F43" s="116">
        <f t="shared" si="11"/>
        <v>0.60396375000000002</v>
      </c>
      <c r="G43" s="116">
        <f t="shared" si="12"/>
        <v>36.237825000000001</v>
      </c>
      <c r="H43" s="116">
        <f t="shared" si="6"/>
        <v>78.727032187500015</v>
      </c>
      <c r="I43" s="116">
        <v>198</v>
      </c>
      <c r="J43" s="116">
        <f t="shared" si="7"/>
        <v>9.4475662487757642E-2</v>
      </c>
      <c r="K43" s="116">
        <f t="shared" si="16"/>
        <v>13.421300897474394</v>
      </c>
      <c r="L43" s="116">
        <f t="shared" si="9"/>
        <v>13.621300897474397</v>
      </c>
      <c r="M43" s="116">
        <f t="shared" si="13"/>
        <v>6.9936341170103233</v>
      </c>
      <c r="N43" s="116">
        <f t="shared" si="10"/>
        <v>91.799999999999883</v>
      </c>
    </row>
    <row r="44" spans="1:14">
      <c r="A44" s="116"/>
      <c r="B44" s="116"/>
      <c r="C44" s="116">
        <f t="shared" si="17"/>
        <v>3</v>
      </c>
      <c r="D44" s="116">
        <f t="shared" si="14"/>
        <v>43</v>
      </c>
      <c r="E44" s="116">
        <f t="shared" si="15"/>
        <v>172</v>
      </c>
      <c r="F44" s="116">
        <f t="shared" si="11"/>
        <v>0.61468499999999993</v>
      </c>
      <c r="G44" s="116">
        <f t="shared" si="12"/>
        <v>36.881099999999996</v>
      </c>
      <c r="H44" s="116">
        <f t="shared" si="6"/>
        <v>78.12306843750001</v>
      </c>
      <c r="I44" s="116">
        <v>198</v>
      </c>
      <c r="J44" s="116">
        <f t="shared" si="7"/>
        <v>9.3137756076003844E-2</v>
      </c>
      <c r="K44" s="116">
        <f t="shared" si="16"/>
        <v>13.32816314139839</v>
      </c>
      <c r="L44" s="116">
        <f t="shared" si="9"/>
        <v>13.528163141398393</v>
      </c>
      <c r="M44" s="116">
        <f t="shared" si="13"/>
        <v>7.0677284842838857</v>
      </c>
      <c r="N44" s="116">
        <f t="shared" si="10"/>
        <v>91.599999999999881</v>
      </c>
    </row>
    <row r="45" spans="1:14">
      <c r="A45" s="116"/>
      <c r="B45" s="116"/>
      <c r="C45" s="116">
        <f t="shared" si="17"/>
        <v>3</v>
      </c>
      <c r="D45" s="116">
        <f t="shared" si="14"/>
        <v>44</v>
      </c>
      <c r="E45" s="116">
        <f t="shared" si="15"/>
        <v>175</v>
      </c>
      <c r="F45" s="116">
        <f t="shared" si="11"/>
        <v>0.62540625000000005</v>
      </c>
      <c r="G45" s="116">
        <f t="shared" si="12"/>
        <v>37.524375000000006</v>
      </c>
      <c r="H45" s="116">
        <f t="shared" si="6"/>
        <v>77.508383437500015</v>
      </c>
      <c r="I45" s="116">
        <v>198</v>
      </c>
      <c r="J45" s="116">
        <f t="shared" si="7"/>
        <v>9.1785118718712019E-2</v>
      </c>
      <c r="K45" s="116">
        <f t="shared" si="16"/>
        <v>13.236378022679677</v>
      </c>
      <c r="L45" s="116">
        <f t="shared" si="9"/>
        <v>13.43637802267968</v>
      </c>
      <c r="M45" s="116">
        <f t="shared" si="13"/>
        <v>7.1414260370746421</v>
      </c>
      <c r="N45" s="116">
        <f t="shared" si="10"/>
        <v>91.399999999999878</v>
      </c>
    </row>
    <row r="46" spans="1:14">
      <c r="A46" s="116"/>
      <c r="B46" s="116"/>
      <c r="C46" s="116">
        <f t="shared" si="17"/>
        <v>3</v>
      </c>
      <c r="D46" s="116">
        <f t="shared" si="14"/>
        <v>45</v>
      </c>
      <c r="E46" s="116">
        <f t="shared" si="15"/>
        <v>178</v>
      </c>
      <c r="F46" s="116">
        <f t="shared" si="11"/>
        <v>0.63612749999999996</v>
      </c>
      <c r="G46" s="116">
        <f t="shared" si="12"/>
        <v>38.167649999999995</v>
      </c>
      <c r="H46" s="116">
        <f t="shared" si="6"/>
        <v>76.882977187500018</v>
      </c>
      <c r="I46" s="116">
        <v>198</v>
      </c>
      <c r="J46" s="116">
        <f t="shared" si="7"/>
        <v>9.041823740926741E-2</v>
      </c>
      <c r="K46" s="116">
        <f t="shared" si="16"/>
        <v>13.14595978527041</v>
      </c>
      <c r="L46" s="116">
        <f t="shared" si="9"/>
        <v>13.345959785270413</v>
      </c>
      <c r="M46" s="116">
        <f t="shared" si="13"/>
        <v>7.2147308654659668</v>
      </c>
      <c r="N46" s="116">
        <f t="shared" si="10"/>
        <v>91.199999999999875</v>
      </c>
    </row>
    <row r="47" spans="1:14">
      <c r="A47" s="116"/>
      <c r="B47" s="116"/>
      <c r="C47" s="116">
        <f t="shared" si="17"/>
        <v>3</v>
      </c>
      <c r="D47" s="116">
        <f t="shared" si="14"/>
        <v>46</v>
      </c>
      <c r="E47" s="116">
        <f t="shared" si="15"/>
        <v>181</v>
      </c>
      <c r="F47" s="116">
        <f t="shared" si="11"/>
        <v>0.64684874999999997</v>
      </c>
      <c r="G47" s="116">
        <f t="shared" si="12"/>
        <v>38.810924999999997</v>
      </c>
      <c r="H47" s="116">
        <f t="shared" si="6"/>
        <v>76.246849687500017</v>
      </c>
      <c r="I47" s="116">
        <v>198</v>
      </c>
      <c r="J47" s="116">
        <f t="shared" si="7"/>
        <v>8.903760869391511E-2</v>
      </c>
      <c r="K47" s="116">
        <f t="shared" si="16"/>
        <v>13.056922176576494</v>
      </c>
      <c r="L47" s="116">
        <f t="shared" si="9"/>
        <v>13.256922176576497</v>
      </c>
      <c r="M47" s="116">
        <f t="shared" si="13"/>
        <v>7.2876463994274197</v>
      </c>
      <c r="N47" s="116">
        <f t="shared" si="10"/>
        <v>90.999999999999872</v>
      </c>
    </row>
    <row r="48" spans="1:14">
      <c r="A48" s="116"/>
      <c r="B48" s="116"/>
      <c r="C48" s="116">
        <f t="shared" si="17"/>
        <v>3</v>
      </c>
      <c r="D48" s="116">
        <f t="shared" si="14"/>
        <v>47</v>
      </c>
      <c r="E48" s="116">
        <f t="shared" si="15"/>
        <v>184</v>
      </c>
      <c r="F48" s="116">
        <f t="shared" si="11"/>
        <v>0.65756999999999999</v>
      </c>
      <c r="G48" s="116">
        <f t="shared" si="12"/>
        <v>39.4542</v>
      </c>
      <c r="H48" s="116">
        <f t="shared" si="6"/>
        <v>75.600000937500013</v>
      </c>
      <c r="I48" s="116">
        <v>198</v>
      </c>
      <c r="J48" s="116">
        <f t="shared" si="7"/>
        <v>8.7643738741522204E-2</v>
      </c>
      <c r="K48" s="116">
        <f t="shared" si="16"/>
        <v>12.969278437834971</v>
      </c>
      <c r="L48" s="116">
        <f t="shared" si="9"/>
        <v>13.169278437834974</v>
      </c>
      <c r="M48" s="116">
        <f t="shared" si="13"/>
        <v>7.3601754435028663</v>
      </c>
      <c r="N48" s="116">
        <f t="shared" si="10"/>
        <v>90.799999999999869</v>
      </c>
    </row>
    <row r="49" spans="1:14">
      <c r="A49" s="116"/>
      <c r="B49" s="116"/>
      <c r="C49" s="116">
        <f t="shared" si="17"/>
        <v>3</v>
      </c>
      <c r="D49" s="116">
        <f t="shared" si="14"/>
        <v>48</v>
      </c>
      <c r="E49" s="116">
        <f t="shared" si="15"/>
        <v>187</v>
      </c>
      <c r="F49" s="116">
        <f t="shared" si="11"/>
        <v>0.66829124999999989</v>
      </c>
      <c r="G49" s="116">
        <f t="shared" si="12"/>
        <v>40.097474999999996</v>
      </c>
      <c r="H49" s="116">
        <f t="shared" si="6"/>
        <v>74.942430937500006</v>
      </c>
      <c r="I49" s="116">
        <v>198</v>
      </c>
      <c r="J49" s="116">
        <f t="shared" si="7"/>
        <v>8.6237143416172307E-2</v>
      </c>
      <c r="K49" s="116">
        <f t="shared" si="16"/>
        <v>12.883041294418799</v>
      </c>
      <c r="L49" s="116">
        <f t="shared" si="9"/>
        <v>13.083041294418802</v>
      </c>
      <c r="M49" s="116">
        <f t="shared" si="13"/>
        <v>7.4323202099174486</v>
      </c>
      <c r="N49" s="116">
        <f t="shared" si="10"/>
        <v>90.599999999999866</v>
      </c>
    </row>
    <row r="50" spans="1:14">
      <c r="A50" s="116"/>
      <c r="B50" s="116"/>
      <c r="C50" s="116">
        <f t="shared" si="17"/>
        <v>3</v>
      </c>
      <c r="D50" s="116">
        <f t="shared" si="14"/>
        <v>49</v>
      </c>
      <c r="E50" s="116">
        <f t="shared" si="15"/>
        <v>190</v>
      </c>
      <c r="F50" s="116">
        <f t="shared" si="11"/>
        <v>0.67901250000000002</v>
      </c>
      <c r="G50" s="116">
        <f t="shared" si="12"/>
        <v>40.740749999999998</v>
      </c>
      <c r="H50" s="116">
        <f t="shared" si="6"/>
        <v>74.274139687500011</v>
      </c>
      <c r="I50" s="116">
        <v>198</v>
      </c>
      <c r="J50" s="116">
        <f t="shared" si="7"/>
        <v>8.4818348352732165E-2</v>
      </c>
      <c r="K50" s="116">
        <f t="shared" si="16"/>
        <v>12.798222946066067</v>
      </c>
      <c r="L50" s="116">
        <f t="shared" si="9"/>
        <v>12.99822294606607</v>
      </c>
      <c r="M50" s="116">
        <f t="shared" si="13"/>
        <v>7.5040823503038148</v>
      </c>
      <c r="N50" s="116">
        <f t="shared" si="10"/>
        <v>90.399999999999864</v>
      </c>
    </row>
    <row r="51" spans="1:14">
      <c r="A51" s="116"/>
      <c r="B51" s="116"/>
      <c r="C51" s="116">
        <f t="shared" si="17"/>
        <v>3</v>
      </c>
      <c r="D51" s="116">
        <f t="shared" si="14"/>
        <v>50</v>
      </c>
      <c r="E51" s="116">
        <f t="shared" si="15"/>
        <v>193</v>
      </c>
      <c r="F51" s="116">
        <f t="shared" si="11"/>
        <v>0.68973374999999992</v>
      </c>
      <c r="G51" s="116">
        <f t="shared" si="12"/>
        <v>41.384024999999994</v>
      </c>
      <c r="H51" s="116">
        <f t="shared" si="6"/>
        <v>73.595127187500012</v>
      </c>
      <c r="I51" s="116">
        <v>198</v>
      </c>
      <c r="J51" s="116">
        <f t="shared" si="7"/>
        <v>8.3387889035538801E-2</v>
      </c>
      <c r="K51" s="116">
        <f t="shared" si="16"/>
        <v>12.714835057030529</v>
      </c>
      <c r="L51" s="116">
        <f t="shared" si="9"/>
        <v>12.914835057030531</v>
      </c>
      <c r="M51" s="116">
        <f t="shared" si="13"/>
        <v>7.5754629862272571</v>
      </c>
      <c r="N51" s="116">
        <f t="shared" si="10"/>
        <v>90.199999999999861</v>
      </c>
    </row>
    <row r="52" spans="1:14">
      <c r="A52" s="116"/>
      <c r="B52" s="116"/>
      <c r="C52" s="116">
        <f t="shared" si="17"/>
        <v>3</v>
      </c>
      <c r="D52" s="116">
        <f t="shared" si="14"/>
        <v>51</v>
      </c>
      <c r="E52" s="116">
        <f t="shared" si="15"/>
        <v>196</v>
      </c>
      <c r="F52" s="116">
        <f t="shared" si="11"/>
        <v>0.70045500000000005</v>
      </c>
      <c r="G52" s="116">
        <f t="shared" si="12"/>
        <v>42.027300000000004</v>
      </c>
      <c r="H52" s="116">
        <f t="shared" si="6"/>
        <v>72.90539343750001</v>
      </c>
      <c r="I52" s="116">
        <v>198</v>
      </c>
      <c r="J52" s="116">
        <f t="shared" si="7"/>
        <v>8.1946310880368523E-2</v>
      </c>
      <c r="K52" s="116">
        <f t="shared" si="16"/>
        <v>12.63288874615016</v>
      </c>
      <c r="L52" s="116">
        <f t="shared" si="9"/>
        <v>12.832888746150163</v>
      </c>
      <c r="M52" s="116">
        <f t="shared" si="13"/>
        <v>7.6464627386707198</v>
      </c>
      <c r="N52" s="116">
        <f t="shared" si="10"/>
        <v>89.999999999999858</v>
      </c>
    </row>
    <row r="53" spans="1:14">
      <c r="A53" s="116"/>
      <c r="B53" s="116"/>
      <c r="C53" s="116">
        <f t="shared" si="17"/>
        <v>3</v>
      </c>
      <c r="D53" s="116">
        <f t="shared" si="14"/>
        <v>52</v>
      </c>
      <c r="E53" s="116">
        <f t="shared" si="15"/>
        <v>199</v>
      </c>
      <c r="F53" s="116">
        <f t="shared" si="11"/>
        <v>0.71117624999999995</v>
      </c>
      <c r="G53" s="116">
        <f t="shared" si="12"/>
        <v>42.670574999999999</v>
      </c>
      <c r="H53" s="116">
        <f t="shared" si="6"/>
        <v>72.204938437500005</v>
      </c>
      <c r="I53" s="116">
        <v>198</v>
      </c>
      <c r="J53" s="116">
        <f t="shared" si="7"/>
        <v>8.0494169319856451E-2</v>
      </c>
      <c r="K53" s="116">
        <f t="shared" si="16"/>
        <v>12.552394576830304</v>
      </c>
      <c r="L53" s="116">
        <f t="shared" si="9"/>
        <v>12.752394576830307</v>
      </c>
      <c r="M53" s="116">
        <f t="shared" si="13"/>
        <v>7.7170817566237604</v>
      </c>
      <c r="N53" s="116">
        <f t="shared" si="10"/>
        <v>89.799999999999855</v>
      </c>
    </row>
    <row r="54" spans="1:14">
      <c r="A54" s="116"/>
      <c r="B54" s="116"/>
      <c r="C54" s="116">
        <f t="shared" si="17"/>
        <v>3</v>
      </c>
      <c r="D54" s="116">
        <f t="shared" si="14"/>
        <v>53</v>
      </c>
      <c r="E54" s="116">
        <f t="shared" si="15"/>
        <v>202</v>
      </c>
      <c r="F54" s="116">
        <f t="shared" si="11"/>
        <v>0.72189749999999997</v>
      </c>
      <c r="G54" s="116">
        <f t="shared" si="12"/>
        <v>43.313849999999995</v>
      </c>
      <c r="H54" s="116">
        <f t="shared" si="6"/>
        <v>71.49376218750001</v>
      </c>
      <c r="I54" s="116">
        <v>198</v>
      </c>
      <c r="J54" s="116">
        <f t="shared" si="7"/>
        <v>7.9032029892552286E-2</v>
      </c>
      <c r="K54" s="116">
        <f t="shared" si="16"/>
        <v>12.473362546937752</v>
      </c>
      <c r="L54" s="116">
        <f t="shared" si="9"/>
        <v>12.673362546937755</v>
      </c>
      <c r="M54" s="116">
        <f t="shared" si="13"/>
        <v>7.7873197449043001</v>
      </c>
      <c r="N54" s="116">
        <f t="shared" si="10"/>
        <v>89.599999999999852</v>
      </c>
    </row>
    <row r="55" spans="1:14">
      <c r="A55" s="116"/>
      <c r="B55" s="116"/>
      <c r="C55" s="116">
        <f t="shared" si="17"/>
        <v>3</v>
      </c>
      <c r="D55" s="116">
        <f t="shared" si="14"/>
        <v>54</v>
      </c>
      <c r="E55" s="116">
        <f t="shared" si="15"/>
        <v>205</v>
      </c>
      <c r="F55" s="116">
        <f t="shared" si="11"/>
        <v>0.73261874999999999</v>
      </c>
      <c r="G55" s="116">
        <f t="shared" si="12"/>
        <v>43.957124999999998</v>
      </c>
      <c r="H55" s="116">
        <f t="shared" si="6"/>
        <v>70.771864687500013</v>
      </c>
      <c r="I55" s="116">
        <v>198</v>
      </c>
      <c r="J55" s="116">
        <f t="shared" si="7"/>
        <v>7.7560468335806793E-2</v>
      </c>
      <c r="K55" s="116">
        <f t="shared" si="16"/>
        <v>12.395802078601944</v>
      </c>
      <c r="L55" s="116">
        <f t="shared" si="9"/>
        <v>12.595802078601947</v>
      </c>
      <c r="M55" s="116">
        <f t="shared" si="13"/>
        <v>7.8571759913280514</v>
      </c>
      <c r="N55" s="116">
        <f t="shared" si="10"/>
        <v>89.399999999999849</v>
      </c>
    </row>
    <row r="56" spans="1:14">
      <c r="A56" s="116"/>
      <c r="B56" s="116"/>
      <c r="C56" s="116">
        <f t="shared" si="17"/>
        <v>3</v>
      </c>
      <c r="D56" s="116">
        <f t="shared" si="14"/>
        <v>55</v>
      </c>
      <c r="E56" s="116">
        <f t="shared" si="15"/>
        <v>208</v>
      </c>
      <c r="F56" s="116">
        <f t="shared" si="11"/>
        <v>0.74334</v>
      </c>
      <c r="G56" s="116">
        <f t="shared" si="12"/>
        <v>44.6004</v>
      </c>
      <c r="H56" s="116">
        <f t="shared" si="6"/>
        <v>70.039245937500013</v>
      </c>
      <c r="I56" s="116">
        <v>198</v>
      </c>
      <c r="J56" s="116">
        <f t="shared" si="7"/>
        <v>7.6080070682701659E-2</v>
      </c>
      <c r="K56" s="116">
        <f t="shared" si="16"/>
        <v>12.319722007919243</v>
      </c>
      <c r="L56" s="116">
        <f t="shared" si="9"/>
        <v>12.519722007919245</v>
      </c>
      <c r="M56" s="116">
        <f t="shared" si="13"/>
        <v>7.9266493933278266</v>
      </c>
      <c r="N56" s="116">
        <f t="shared" si="10"/>
        <v>89.199999999999847</v>
      </c>
    </row>
    <row r="57" spans="1:14">
      <c r="A57" s="116"/>
      <c r="B57" s="116"/>
      <c r="C57" s="116">
        <v>2</v>
      </c>
      <c r="D57" s="116">
        <f t="shared" si="14"/>
        <v>56</v>
      </c>
      <c r="E57" s="116">
        <f t="shared" si="15"/>
        <v>211</v>
      </c>
      <c r="F57" s="116">
        <f t="shared" si="11"/>
        <v>0.50270749999999997</v>
      </c>
      <c r="G57" s="116">
        <f t="shared" si="12"/>
        <v>30.16245</v>
      </c>
      <c r="H57" s="116">
        <f t="shared" si="6"/>
        <v>69.295905937500009</v>
      </c>
      <c r="I57" s="116">
        <v>198</v>
      </c>
      <c r="J57" s="116">
        <f t="shared" si="7"/>
        <v>4.972762224216596E-2</v>
      </c>
      <c r="K57" s="116">
        <f t="shared" si="16"/>
        <v>12.269994385677077</v>
      </c>
      <c r="L57" s="116">
        <f t="shared" si="9"/>
        <v>12.469994385677079</v>
      </c>
      <c r="M57" s="116">
        <f t="shared" si="13"/>
        <v>6.5251832974852917</v>
      </c>
      <c r="N57" s="116">
        <f t="shared" si="10"/>
        <v>88.999999999999844</v>
      </c>
    </row>
    <row r="58" spans="1:14">
      <c r="A58" s="116"/>
      <c r="B58" s="116"/>
      <c r="C58" s="116">
        <v>2</v>
      </c>
      <c r="D58" s="116">
        <f t="shared" si="14"/>
        <v>57</v>
      </c>
      <c r="E58" s="116">
        <f t="shared" si="15"/>
        <v>213</v>
      </c>
      <c r="F58" s="116">
        <f t="shared" si="11"/>
        <v>0.50747249999999999</v>
      </c>
      <c r="G58" s="116">
        <f t="shared" si="12"/>
        <v>30.448349999999998</v>
      </c>
      <c r="H58" s="116">
        <f t="shared" si="6"/>
        <v>68.79319843750001</v>
      </c>
      <c r="I58" s="116">
        <v>198</v>
      </c>
      <c r="J58" s="116">
        <f t="shared" si="7"/>
        <v>4.9061580035917783E-2</v>
      </c>
      <c r="K58" s="116">
        <f t="shared" si="16"/>
        <v>12.220932805641159</v>
      </c>
      <c r="L58" s="116">
        <f t="shared" si="9"/>
        <v>12.420932805641161</v>
      </c>
      <c r="M58" s="116">
        <f t="shared" si="13"/>
        <v>6.5626054049555123</v>
      </c>
      <c r="N58" s="116">
        <f t="shared" si="10"/>
        <v>88.799999999999841</v>
      </c>
    </row>
    <row r="59" spans="1:14">
      <c r="A59" s="116"/>
      <c r="B59" s="116"/>
      <c r="C59" s="116">
        <f t="shared" ref="C59:C90" si="18">E59-E58</f>
        <v>2</v>
      </c>
      <c r="D59" s="116">
        <f t="shared" si="14"/>
        <v>58</v>
      </c>
      <c r="E59" s="116">
        <f t="shared" si="15"/>
        <v>215</v>
      </c>
      <c r="F59" s="116">
        <f t="shared" si="11"/>
        <v>0.51223750000000001</v>
      </c>
      <c r="G59" s="116">
        <f t="shared" si="12"/>
        <v>30.734249999999999</v>
      </c>
      <c r="H59" s="116">
        <f t="shared" si="6"/>
        <v>68.285725937500004</v>
      </c>
      <c r="I59" s="116">
        <v>198</v>
      </c>
      <c r="J59" s="116">
        <f t="shared" si="7"/>
        <v>4.8393417530486191E-2</v>
      </c>
      <c r="K59" s="116">
        <f t="shared" si="16"/>
        <v>12.172539388110673</v>
      </c>
      <c r="L59" s="116">
        <f t="shared" si="9"/>
        <v>12.372539388110676</v>
      </c>
      <c r="M59" s="116">
        <f t="shared" si="13"/>
        <v>6.5998871854574812</v>
      </c>
      <c r="N59" s="116">
        <f t="shared" si="10"/>
        <v>88.599999999999838</v>
      </c>
    </row>
    <row r="60" spans="1:14">
      <c r="A60" s="116"/>
      <c r="B60" s="116"/>
      <c r="C60" s="116">
        <f t="shared" si="18"/>
        <v>2</v>
      </c>
      <c r="D60" s="116">
        <f t="shared" si="14"/>
        <v>59</v>
      </c>
      <c r="E60" s="116">
        <f t="shared" si="15"/>
        <v>217</v>
      </c>
      <c r="F60" s="116">
        <f t="shared" si="11"/>
        <v>0.51700249999999992</v>
      </c>
      <c r="G60" s="116">
        <f t="shared" si="12"/>
        <v>31.020149999999994</v>
      </c>
      <c r="H60" s="116">
        <f t="shared" si="6"/>
        <v>67.773488437500006</v>
      </c>
      <c r="I60" s="116">
        <v>198</v>
      </c>
      <c r="J60" s="116">
        <f t="shared" si="7"/>
        <v>4.7723258077071715E-2</v>
      </c>
      <c r="K60" s="116">
        <f t="shared" si="16"/>
        <v>12.124816130033601</v>
      </c>
      <c r="L60" s="116">
        <f t="shared" si="9"/>
        <v>12.324816130033604</v>
      </c>
      <c r="M60" s="116">
        <f t="shared" si="13"/>
        <v>6.6370280911409738</v>
      </c>
      <c r="N60" s="116">
        <f t="shared" si="10"/>
        <v>88.399999999999835</v>
      </c>
    </row>
    <row r="61" spans="1:14">
      <c r="A61" s="116"/>
      <c r="B61" s="116"/>
      <c r="C61" s="116">
        <f t="shared" si="18"/>
        <v>2</v>
      </c>
      <c r="D61" s="116">
        <f t="shared" si="14"/>
        <v>60</v>
      </c>
      <c r="E61" s="116">
        <f t="shared" si="15"/>
        <v>219</v>
      </c>
      <c r="F61" s="116">
        <f t="shared" si="11"/>
        <v>0.52176750000000005</v>
      </c>
      <c r="G61" s="116">
        <f t="shared" si="12"/>
        <v>31.306050000000003</v>
      </c>
      <c r="H61" s="116">
        <f t="shared" si="6"/>
        <v>67.256485937500003</v>
      </c>
      <c r="I61" s="116">
        <v>198</v>
      </c>
      <c r="J61" s="116">
        <f t="shared" si="7"/>
        <v>4.7051226446492941E-2</v>
      </c>
      <c r="K61" s="116">
        <f t="shared" si="16"/>
        <v>12.077764903587108</v>
      </c>
      <c r="L61" s="116">
        <f t="shared" si="9"/>
        <v>12.27776490358711</v>
      </c>
      <c r="M61" s="116">
        <f t="shared" si="13"/>
        <v>6.6740275289771338</v>
      </c>
      <c r="N61" s="116">
        <f t="shared" si="10"/>
        <v>88.199999999999832</v>
      </c>
    </row>
    <row r="62" spans="1:14">
      <c r="A62" s="116"/>
      <c r="B62" s="116"/>
      <c r="C62" s="116">
        <f t="shared" si="18"/>
        <v>2</v>
      </c>
      <c r="D62" s="116">
        <f t="shared" si="14"/>
        <v>61</v>
      </c>
      <c r="E62" s="116">
        <f t="shared" si="15"/>
        <v>221</v>
      </c>
      <c r="F62" s="116">
        <f t="shared" si="11"/>
        <v>0.52653249999999996</v>
      </c>
      <c r="G62" s="116">
        <f t="shared" si="12"/>
        <v>31.591949999999997</v>
      </c>
      <c r="H62" s="116">
        <f t="shared" si="6"/>
        <v>66.734718437500007</v>
      </c>
      <c r="I62" s="116">
        <v>198</v>
      </c>
      <c r="J62" s="116">
        <f t="shared" si="7"/>
        <v>4.6377448839930155E-2</v>
      </c>
      <c r="K62" s="116">
        <f t="shared" si="16"/>
        <v>12.031387454747177</v>
      </c>
      <c r="L62" s="116">
        <f t="shared" si="9"/>
        <v>12.23138745474718</v>
      </c>
      <c r="M62" s="116">
        <f t="shared" si="13"/>
        <v>6.7108848634393325</v>
      </c>
      <c r="N62" s="116">
        <f t="shared" si="10"/>
        <v>87.999999999999829</v>
      </c>
    </row>
    <row r="63" spans="1:14">
      <c r="A63" s="116"/>
      <c r="B63" s="116"/>
      <c r="C63" s="116">
        <f t="shared" si="18"/>
        <v>2</v>
      </c>
      <c r="D63" s="116">
        <f t="shared" si="14"/>
        <v>62</v>
      </c>
      <c r="E63" s="116">
        <f t="shared" si="15"/>
        <v>223</v>
      </c>
      <c r="F63" s="116">
        <f t="shared" si="11"/>
        <v>0.53129749999999998</v>
      </c>
      <c r="G63" s="116">
        <f t="shared" si="12"/>
        <v>31.877849999999999</v>
      </c>
      <c r="H63" s="116">
        <f t="shared" si="6"/>
        <v>66.208185937500005</v>
      </c>
      <c r="I63" s="116">
        <v>198</v>
      </c>
      <c r="J63" s="116">
        <f t="shared" si="7"/>
        <v>4.5702052900004092E-2</v>
      </c>
      <c r="K63" s="116">
        <f t="shared" si="16"/>
        <v>11.985685401847173</v>
      </c>
      <c r="L63" s="116">
        <f t="shared" si="9"/>
        <v>12.185685401847175</v>
      </c>
      <c r="M63" s="116">
        <f t="shared" si="13"/>
        <v>6.7475994191731399</v>
      </c>
      <c r="N63" s="116">
        <f t="shared" si="10"/>
        <v>87.799999999999827</v>
      </c>
    </row>
    <row r="64" spans="1:14">
      <c r="A64" s="116"/>
      <c r="B64" s="116"/>
      <c r="C64" s="116">
        <f t="shared" si="18"/>
        <v>2</v>
      </c>
      <c r="D64" s="116">
        <f t="shared" si="14"/>
        <v>63</v>
      </c>
      <c r="E64" s="116">
        <f t="shared" si="15"/>
        <v>225</v>
      </c>
      <c r="F64" s="116">
        <f t="shared" si="11"/>
        <v>0.5360625</v>
      </c>
      <c r="G64" s="116">
        <f t="shared" si="12"/>
        <v>32.16375</v>
      </c>
      <c r="H64" s="116">
        <f t="shared" si="6"/>
        <v>65.676888437500011</v>
      </c>
      <c r="I64" s="116">
        <v>198</v>
      </c>
      <c r="J64" s="116">
        <f t="shared" si="7"/>
        <v>4.5025167722204086E-2</v>
      </c>
      <c r="K64" s="116">
        <f t="shared" si="16"/>
        <v>11.940660234124968</v>
      </c>
      <c r="L64" s="116">
        <f t="shared" si="9"/>
        <v>12.140660234124971</v>
      </c>
      <c r="M64" s="116">
        <f t="shared" si="13"/>
        <v>6.7841704836571477</v>
      </c>
      <c r="N64" s="116">
        <f t="shared" si="10"/>
        <v>87.599999999999824</v>
      </c>
    </row>
    <row r="65" spans="1:14">
      <c r="A65" s="116"/>
      <c r="B65" s="116"/>
      <c r="C65" s="116">
        <f t="shared" si="18"/>
        <v>2</v>
      </c>
      <c r="D65" s="116">
        <f t="shared" si="14"/>
        <v>64</v>
      </c>
      <c r="E65" s="116">
        <f t="shared" si="15"/>
        <v>227</v>
      </c>
      <c r="F65" s="116">
        <f t="shared" si="11"/>
        <v>0.54082750000000002</v>
      </c>
      <c r="G65" s="116">
        <f t="shared" si="12"/>
        <v>32.449649999999998</v>
      </c>
      <c r="H65" s="116">
        <f t="shared" si="6"/>
        <v>65.140825937500011</v>
      </c>
      <c r="I65" s="116">
        <v>198</v>
      </c>
      <c r="J65" s="116">
        <f t="shared" si="7"/>
        <v>4.4346923866679981E-2</v>
      </c>
      <c r="K65" s="116">
        <f t="shared" si="16"/>
        <v>11.896313310258288</v>
      </c>
      <c r="L65" s="116">
        <f t="shared" si="9"/>
        <v>12.09631331025829</v>
      </c>
      <c r="M65" s="116">
        <f t="shared" si="13"/>
        <v>6.8205973098562396</v>
      </c>
      <c r="N65" s="116">
        <f t="shared" si="10"/>
        <v>87.399999999999821</v>
      </c>
    </row>
    <row r="66" spans="1:14">
      <c r="A66" s="116"/>
      <c r="B66" s="116"/>
      <c r="C66" s="116">
        <f t="shared" si="18"/>
        <v>2</v>
      </c>
      <c r="D66" s="116">
        <f t="shared" si="14"/>
        <v>65</v>
      </c>
      <c r="E66" s="116">
        <f t="shared" si="15"/>
        <v>229</v>
      </c>
      <c r="F66" s="116">
        <f t="shared" ref="F66:F97" si="19">(E66*C66*2*$A$2/($A$4^2))</f>
        <v>0.54559250000000004</v>
      </c>
      <c r="G66" s="116">
        <f t="shared" ref="G66:G97" si="20">(E66*C66*2*$A$2/($A$4^2))*60</f>
        <v>32.735550000000003</v>
      </c>
      <c r="H66" s="116">
        <f t="shared" ref="H66:H129" si="21">F66+H67</f>
        <v>64.599998437500005</v>
      </c>
      <c r="I66" s="116">
        <v>198</v>
      </c>
      <c r="J66" s="116">
        <f t="shared" si="7"/>
        <v>4.3667453370413431E-2</v>
      </c>
      <c r="K66" s="116">
        <f t="shared" si="16"/>
        <v>11.852645856887873</v>
      </c>
      <c r="L66" s="116">
        <f t="shared" si="9"/>
        <v>12.052645856887876</v>
      </c>
      <c r="M66" s="116">
        <f t="shared" ref="M66:M97" si="22">(F66*60/(0.0666*(K66*9.8)^0.5*0.97))^0.5</f>
        <v>6.8568791188686298</v>
      </c>
      <c r="N66" s="116">
        <f t="shared" si="10"/>
        <v>87.199999999999818</v>
      </c>
    </row>
    <row r="67" spans="1:14">
      <c r="A67" s="116"/>
      <c r="B67" s="116"/>
      <c r="C67" s="116">
        <f t="shared" si="18"/>
        <v>2</v>
      </c>
      <c r="D67" s="116">
        <f t="shared" ref="D67:D98" si="23">D66+1</f>
        <v>66</v>
      </c>
      <c r="E67" s="116">
        <f t="shared" ref="E67:E98" si="24">E66+C66</f>
        <v>231</v>
      </c>
      <c r="F67" s="116">
        <f t="shared" si="19"/>
        <v>0.55035749999999994</v>
      </c>
      <c r="G67" s="116">
        <f t="shared" si="20"/>
        <v>33.021449999999994</v>
      </c>
      <c r="H67" s="116">
        <f t="shared" si="21"/>
        <v>64.054405937500007</v>
      </c>
      <c r="I67" s="116">
        <v>198</v>
      </c>
      <c r="J67" s="116">
        <f t="shared" ref="J67:J130" si="25">12200000000*(C67)*((H67/$A$8)^1.852/(I67^4.87))</f>
        <v>4.2986889759785193E-2</v>
      </c>
      <c r="K67" s="116">
        <f t="shared" ref="K67:K98" si="26">K66-J67</f>
        <v>11.809658967128088</v>
      </c>
      <c r="L67" s="116">
        <f t="shared" si="9"/>
        <v>12.009658967128091</v>
      </c>
      <c r="M67" s="116">
        <f t="shared" si="22"/>
        <v>6.8930151025677722</v>
      </c>
      <c r="N67" s="116">
        <f t="shared" si="10"/>
        <v>86.999999999999815</v>
      </c>
    </row>
    <row r="68" spans="1:14">
      <c r="A68" s="116"/>
      <c r="B68" s="116"/>
      <c r="C68" s="116">
        <f t="shared" si="18"/>
        <v>2</v>
      </c>
      <c r="D68" s="116">
        <f t="shared" si="23"/>
        <v>67</v>
      </c>
      <c r="E68" s="116">
        <f t="shared" si="24"/>
        <v>233</v>
      </c>
      <c r="F68" s="116">
        <f t="shared" si="19"/>
        <v>0.55512249999999996</v>
      </c>
      <c r="G68" s="116">
        <f t="shared" si="20"/>
        <v>33.30735</v>
      </c>
      <c r="H68" s="116">
        <f t="shared" si="21"/>
        <v>63.504048437500003</v>
      </c>
      <c r="I68" s="116">
        <v>198</v>
      </c>
      <c r="J68" s="116">
        <f t="shared" si="25"/>
        <v>4.2305368063555185E-2</v>
      </c>
      <c r="K68" s="116">
        <f t="shared" si="26"/>
        <v>11.767353599064533</v>
      </c>
      <c r="L68" s="116">
        <f t="shared" ref="L68:L131" si="27">K67-J68-(N68-N67)</f>
        <v>11.967353599064536</v>
      </c>
      <c r="M68" s="116">
        <f t="shared" si="22"/>
        <v>6.9290044262401151</v>
      </c>
      <c r="N68" s="116">
        <f t="shared" ref="N68:N131" si="28">N67-0.2</f>
        <v>86.799999999999812</v>
      </c>
    </row>
    <row r="69" spans="1:14">
      <c r="A69" s="116"/>
      <c r="B69" s="116"/>
      <c r="C69" s="116">
        <f t="shared" si="18"/>
        <v>2</v>
      </c>
      <c r="D69" s="116">
        <f t="shared" si="23"/>
        <v>68</v>
      </c>
      <c r="E69" s="116">
        <f t="shared" si="24"/>
        <v>235</v>
      </c>
      <c r="F69" s="116">
        <f t="shared" si="19"/>
        <v>0.55988749999999998</v>
      </c>
      <c r="G69" s="116">
        <f t="shared" si="20"/>
        <v>33.593249999999998</v>
      </c>
      <c r="H69" s="116">
        <f t="shared" si="21"/>
        <v>62.9489259375</v>
      </c>
      <c r="I69" s="116">
        <v>198</v>
      </c>
      <c r="J69" s="116">
        <f t="shared" si="25"/>
        <v>4.1623024826274307E-2</v>
      </c>
      <c r="K69" s="116">
        <f t="shared" si="26"/>
        <v>11.725730574238259</v>
      </c>
      <c r="L69" s="116">
        <f t="shared" si="27"/>
        <v>11.925730574238262</v>
      </c>
      <c r="M69" s="116">
        <f t="shared" si="22"/>
        <v>6.9648462312193482</v>
      </c>
      <c r="N69" s="116">
        <f t="shared" si="28"/>
        <v>86.59999999999981</v>
      </c>
    </row>
    <row r="70" spans="1:14">
      <c r="A70" s="116"/>
      <c r="B70" s="116"/>
      <c r="C70" s="116">
        <f t="shared" si="18"/>
        <v>2</v>
      </c>
      <c r="D70" s="116">
        <f t="shared" si="23"/>
        <v>69</v>
      </c>
      <c r="E70" s="116">
        <f t="shared" si="24"/>
        <v>237</v>
      </c>
      <c r="F70" s="116">
        <f t="shared" si="19"/>
        <v>0.5646525</v>
      </c>
      <c r="G70" s="116">
        <f t="shared" si="20"/>
        <v>33.879150000000003</v>
      </c>
      <c r="H70" s="116">
        <f t="shared" si="21"/>
        <v>62.389038437499998</v>
      </c>
      <c r="I70" s="116">
        <v>198</v>
      </c>
      <c r="J70" s="116">
        <f t="shared" si="25"/>
        <v>4.0939998122146777E-2</v>
      </c>
      <c r="K70" s="116">
        <f t="shared" si="26"/>
        <v>11.684790576116113</v>
      </c>
      <c r="L70" s="116">
        <f t="shared" si="27"/>
        <v>11.884790576116115</v>
      </c>
      <c r="M70" s="116">
        <f t="shared" si="22"/>
        <v>7.0005396375177558</v>
      </c>
      <c r="N70" s="116">
        <f t="shared" si="28"/>
        <v>86.399999999999807</v>
      </c>
    </row>
    <row r="71" spans="1:14">
      <c r="A71" s="116"/>
      <c r="B71" s="116"/>
      <c r="C71" s="116">
        <f t="shared" si="18"/>
        <v>2</v>
      </c>
      <c r="D71" s="116">
        <f t="shared" si="23"/>
        <v>70</v>
      </c>
      <c r="E71" s="116">
        <f t="shared" si="24"/>
        <v>239</v>
      </c>
      <c r="F71" s="116">
        <f t="shared" si="19"/>
        <v>0.56941750000000002</v>
      </c>
      <c r="G71" s="116">
        <f t="shared" si="20"/>
        <v>34.165050000000001</v>
      </c>
      <c r="H71" s="116">
        <f t="shared" si="21"/>
        <v>61.824385937499997</v>
      </c>
      <c r="I71" s="116">
        <v>198</v>
      </c>
      <c r="J71" s="116">
        <f t="shared" si="25"/>
        <v>4.0256427569363991E-2</v>
      </c>
      <c r="K71" s="116">
        <f t="shared" si="26"/>
        <v>11.644534148546748</v>
      </c>
      <c r="L71" s="116">
        <f t="shared" si="27"/>
        <v>11.844534148546751</v>
      </c>
      <c r="M71" s="116">
        <f t="shared" si="22"/>
        <v>7.0360837464549704</v>
      </c>
      <c r="N71" s="116">
        <f t="shared" si="28"/>
        <v>86.199999999999804</v>
      </c>
    </row>
    <row r="72" spans="1:14">
      <c r="A72" s="116"/>
      <c r="B72" s="116"/>
      <c r="C72" s="116">
        <f t="shared" si="18"/>
        <v>2</v>
      </c>
      <c r="D72" s="116">
        <f t="shared" si="23"/>
        <v>71</v>
      </c>
      <c r="E72" s="116">
        <f t="shared" si="24"/>
        <v>241</v>
      </c>
      <c r="F72" s="116">
        <f t="shared" si="19"/>
        <v>0.57418249999999993</v>
      </c>
      <c r="G72" s="116">
        <f t="shared" si="20"/>
        <v>34.450949999999999</v>
      </c>
      <c r="H72" s="116">
        <f t="shared" si="21"/>
        <v>61.254968437499997</v>
      </c>
      <c r="I72" s="116">
        <v>198</v>
      </c>
      <c r="J72" s="116">
        <f t="shared" si="25"/>
        <v>3.9572454344931396E-2</v>
      </c>
      <c r="K72" s="116">
        <f t="shared" si="26"/>
        <v>11.604961694201817</v>
      </c>
      <c r="L72" s="116">
        <f t="shared" si="27"/>
        <v>11.80496169420182</v>
      </c>
      <c r="M72" s="116">
        <f t="shared" si="22"/>
        <v>7.0714776432843509</v>
      </c>
      <c r="N72" s="116">
        <f t="shared" si="28"/>
        <v>85.999999999999801</v>
      </c>
    </row>
    <row r="73" spans="1:14">
      <c r="A73" s="116"/>
      <c r="B73" s="116"/>
      <c r="C73" s="116">
        <f t="shared" si="18"/>
        <v>2</v>
      </c>
      <c r="D73" s="116">
        <f t="shared" si="23"/>
        <v>72</v>
      </c>
      <c r="E73" s="116">
        <f t="shared" si="24"/>
        <v>243</v>
      </c>
      <c r="F73" s="116">
        <f t="shared" si="19"/>
        <v>0.57894749999999995</v>
      </c>
      <c r="G73" s="116">
        <f t="shared" si="20"/>
        <v>34.736849999999997</v>
      </c>
      <c r="H73" s="116">
        <f t="shared" si="21"/>
        <v>60.680785937499998</v>
      </c>
      <c r="I73" s="116">
        <v>198</v>
      </c>
      <c r="J73" s="116">
        <f t="shared" si="25"/>
        <v>3.8888221200011577E-2</v>
      </c>
      <c r="K73" s="116">
        <f t="shared" si="26"/>
        <v>11.566073473001806</v>
      </c>
      <c r="L73" s="116">
        <f t="shared" si="27"/>
        <v>11.766073473001809</v>
      </c>
      <c r="M73" s="116">
        <f t="shared" si="22"/>
        <v>7.1067203998169912</v>
      </c>
      <c r="N73" s="116">
        <f t="shared" si="28"/>
        <v>85.799999999999798</v>
      </c>
    </row>
    <row r="74" spans="1:14">
      <c r="A74" s="116"/>
      <c r="B74" s="116"/>
      <c r="C74" s="116">
        <f t="shared" si="18"/>
        <v>2</v>
      </c>
      <c r="D74" s="116">
        <f t="shared" si="23"/>
        <v>73</v>
      </c>
      <c r="E74" s="116">
        <f t="shared" si="24"/>
        <v>245</v>
      </c>
      <c r="F74" s="116">
        <f t="shared" si="19"/>
        <v>0.58371249999999997</v>
      </c>
      <c r="G74" s="116">
        <f t="shared" si="20"/>
        <v>35.022749999999995</v>
      </c>
      <c r="H74" s="116">
        <f t="shared" si="21"/>
        <v>60.1018384375</v>
      </c>
      <c r="I74" s="116">
        <v>198</v>
      </c>
      <c r="J74" s="116">
        <f t="shared" si="25"/>
        <v>3.8203872475808094E-2</v>
      </c>
      <c r="K74" s="116">
        <f t="shared" si="26"/>
        <v>11.527869600525998</v>
      </c>
      <c r="L74" s="116">
        <f t="shared" si="27"/>
        <v>11.727869600526001</v>
      </c>
      <c r="M74" s="116">
        <f t="shared" si="22"/>
        <v>7.1418110770432177</v>
      </c>
      <c r="N74" s="116">
        <f t="shared" si="28"/>
        <v>85.599999999999795</v>
      </c>
    </row>
    <row r="75" spans="1:14">
      <c r="A75" s="116"/>
      <c r="B75" s="116"/>
      <c r="C75" s="116">
        <f t="shared" si="18"/>
        <v>2</v>
      </c>
      <c r="D75" s="116">
        <f t="shared" si="23"/>
        <v>74</v>
      </c>
      <c r="E75" s="116">
        <f t="shared" si="24"/>
        <v>247</v>
      </c>
      <c r="F75" s="116">
        <f t="shared" si="19"/>
        <v>0.58847749999999999</v>
      </c>
      <c r="G75" s="116">
        <f t="shared" si="20"/>
        <v>35.30865</v>
      </c>
      <c r="H75" s="116">
        <f t="shared" si="21"/>
        <v>59.518125937500002</v>
      </c>
      <c r="I75" s="116">
        <v>198</v>
      </c>
      <c r="J75" s="116">
        <f t="shared" si="25"/>
        <v>3.7519554120016035E-2</v>
      </c>
      <c r="K75" s="116">
        <f t="shared" si="26"/>
        <v>11.490350046405982</v>
      </c>
      <c r="L75" s="116">
        <f t="shared" si="27"/>
        <v>11.690350046405985</v>
      </c>
      <c r="M75" s="116">
        <f t="shared" si="22"/>
        <v>7.1767487277513169</v>
      </c>
      <c r="N75" s="116">
        <f t="shared" si="28"/>
        <v>85.399999999999793</v>
      </c>
    </row>
    <row r="76" spans="1:14">
      <c r="A76" s="116"/>
      <c r="B76" s="116"/>
      <c r="C76" s="116">
        <f t="shared" si="18"/>
        <v>2</v>
      </c>
      <c r="D76" s="116">
        <f t="shared" si="23"/>
        <v>75</v>
      </c>
      <c r="E76" s="116">
        <f t="shared" si="24"/>
        <v>249</v>
      </c>
      <c r="F76" s="116">
        <f t="shared" si="19"/>
        <v>0.59324250000000001</v>
      </c>
      <c r="G76" s="116">
        <f t="shared" si="20"/>
        <v>35.594549999999998</v>
      </c>
      <c r="H76" s="116">
        <f t="shared" si="21"/>
        <v>58.929648437499999</v>
      </c>
      <c r="I76" s="116">
        <v>198</v>
      </c>
      <c r="J76" s="116">
        <f t="shared" si="25"/>
        <v>3.6835413703867032E-2</v>
      </c>
      <c r="K76" s="116">
        <f t="shared" si="26"/>
        <v>11.453514632702115</v>
      </c>
      <c r="L76" s="116">
        <f t="shared" si="27"/>
        <v>11.653514632702118</v>
      </c>
      <c r="M76" s="116">
        <f t="shared" si="22"/>
        <v>7.2115323991430387</v>
      </c>
      <c r="N76" s="116">
        <f t="shared" si="28"/>
        <v>85.19999999999979</v>
      </c>
    </row>
    <row r="77" spans="1:14">
      <c r="A77" s="116"/>
      <c r="B77" s="116"/>
      <c r="C77" s="116">
        <f t="shared" si="18"/>
        <v>2</v>
      </c>
      <c r="D77" s="116">
        <f t="shared" si="23"/>
        <v>76</v>
      </c>
      <c r="E77" s="116">
        <f t="shared" si="24"/>
        <v>251</v>
      </c>
      <c r="F77" s="116">
        <f t="shared" si="19"/>
        <v>0.59800750000000003</v>
      </c>
      <c r="G77" s="116">
        <f t="shared" si="20"/>
        <v>35.880450000000003</v>
      </c>
      <c r="H77" s="116">
        <f t="shared" si="21"/>
        <v>58.336405937499997</v>
      </c>
      <c r="I77" s="116">
        <v>198</v>
      </c>
      <c r="J77" s="116">
        <f t="shared" si="25"/>
        <v>3.6151600439798204E-2</v>
      </c>
      <c r="K77" s="116">
        <f t="shared" si="26"/>
        <v>11.417363032262317</v>
      </c>
      <c r="L77" s="116">
        <f t="shared" si="27"/>
        <v>11.61736303226232</v>
      </c>
      <c r="M77" s="116">
        <f t="shared" si="22"/>
        <v>7.2461611354453419</v>
      </c>
      <c r="N77" s="116">
        <f t="shared" si="28"/>
        <v>84.999999999999787</v>
      </c>
    </row>
    <row r="78" spans="1:14">
      <c r="A78" s="116"/>
      <c r="B78" s="116"/>
      <c r="C78" s="116">
        <f t="shared" si="18"/>
        <v>2</v>
      </c>
      <c r="D78" s="116">
        <f t="shared" si="23"/>
        <v>77</v>
      </c>
      <c r="E78" s="116">
        <f t="shared" si="24"/>
        <v>253</v>
      </c>
      <c r="F78" s="116">
        <f t="shared" si="19"/>
        <v>0.60277249999999993</v>
      </c>
      <c r="G78" s="116">
        <f t="shared" si="20"/>
        <v>36.166349999999994</v>
      </c>
      <c r="H78" s="116">
        <f t="shared" si="21"/>
        <v>57.738398437499995</v>
      </c>
      <c r="I78" s="116">
        <v>198</v>
      </c>
      <c r="J78" s="116">
        <f t="shared" si="25"/>
        <v>3.5468265199776396E-2</v>
      </c>
      <c r="K78" s="116">
        <f t="shared" si="26"/>
        <v>11.381894767062541</v>
      </c>
      <c r="L78" s="116">
        <f t="shared" si="27"/>
        <v>11.581894767062543</v>
      </c>
      <c r="M78" s="116">
        <f t="shared" si="22"/>
        <v>7.2806339805176918</v>
      </c>
      <c r="N78" s="116">
        <f t="shared" si="28"/>
        <v>84.799999999999784</v>
      </c>
    </row>
    <row r="79" spans="1:14">
      <c r="A79" s="116"/>
      <c r="B79" s="116"/>
      <c r="C79" s="116">
        <f t="shared" si="18"/>
        <v>2</v>
      </c>
      <c r="D79" s="116">
        <f t="shared" si="23"/>
        <v>78</v>
      </c>
      <c r="E79" s="116">
        <f t="shared" si="24"/>
        <v>255</v>
      </c>
      <c r="F79" s="116">
        <f t="shared" si="19"/>
        <v>0.60753749999999995</v>
      </c>
      <c r="G79" s="116">
        <f t="shared" si="20"/>
        <v>36.452249999999999</v>
      </c>
      <c r="H79" s="116">
        <f t="shared" si="21"/>
        <v>57.135625937499995</v>
      </c>
      <c r="I79" s="116">
        <v>198</v>
      </c>
      <c r="J79" s="116">
        <f t="shared" si="25"/>
        <v>3.4785560534311068E-2</v>
      </c>
      <c r="K79" s="116">
        <f t="shared" si="26"/>
        <v>11.347109206528229</v>
      </c>
      <c r="L79" s="116">
        <f t="shared" si="27"/>
        <v>11.547109206528232</v>
      </c>
      <c r="M79" s="116">
        <f t="shared" si="22"/>
        <v>7.3149499804541165</v>
      </c>
      <c r="N79" s="116">
        <f t="shared" si="28"/>
        <v>84.599999999999781</v>
      </c>
    </row>
    <row r="80" spans="1:14">
      <c r="A80" s="116"/>
      <c r="B80" s="116"/>
      <c r="C80" s="116">
        <f t="shared" si="18"/>
        <v>2</v>
      </c>
      <c r="D80" s="116">
        <f t="shared" si="23"/>
        <v>79</v>
      </c>
      <c r="E80" s="116">
        <f t="shared" si="24"/>
        <v>257</v>
      </c>
      <c r="F80" s="116">
        <f t="shared" si="19"/>
        <v>0.61230249999999997</v>
      </c>
      <c r="G80" s="116">
        <f t="shared" si="20"/>
        <v>36.738149999999997</v>
      </c>
      <c r="H80" s="116">
        <f t="shared" si="21"/>
        <v>56.528088437499996</v>
      </c>
      <c r="I80" s="116">
        <v>198</v>
      </c>
      <c r="J80" s="116">
        <f t="shared" si="25"/>
        <v>3.4103640692191732E-2</v>
      </c>
      <c r="K80" s="116">
        <f t="shared" si="26"/>
        <v>11.313005565836038</v>
      </c>
      <c r="L80" s="116">
        <f t="shared" si="27"/>
        <v>11.513005565836041</v>
      </c>
      <c r="M80" s="116">
        <f t="shared" si="22"/>
        <v>7.3491081861790928</v>
      </c>
      <c r="N80" s="116">
        <f t="shared" si="28"/>
        <v>84.399999999999778</v>
      </c>
    </row>
    <row r="81" spans="1:14">
      <c r="A81" s="116"/>
      <c r="B81" s="116"/>
      <c r="C81" s="116">
        <f t="shared" si="18"/>
        <v>2</v>
      </c>
      <c r="D81" s="116">
        <f t="shared" si="23"/>
        <v>80</v>
      </c>
      <c r="E81" s="116">
        <f t="shared" si="24"/>
        <v>259</v>
      </c>
      <c r="F81" s="116">
        <f t="shared" si="19"/>
        <v>0.61706749999999999</v>
      </c>
      <c r="G81" s="116">
        <f t="shared" si="20"/>
        <v>37.024050000000003</v>
      </c>
      <c r="H81" s="116">
        <f t="shared" si="21"/>
        <v>55.915785937499997</v>
      </c>
      <c r="I81" s="116">
        <v>198</v>
      </c>
      <c r="J81" s="116">
        <f t="shared" si="25"/>
        <v>3.3422661640987769E-2</v>
      </c>
      <c r="K81" s="116">
        <f t="shared" si="26"/>
        <v>11.279582904195051</v>
      </c>
      <c r="L81" s="116">
        <f t="shared" si="27"/>
        <v>11.479582904195054</v>
      </c>
      <c r="M81" s="116">
        <f t="shared" si="22"/>
        <v>7.3831076560363016</v>
      </c>
      <c r="N81" s="116">
        <f t="shared" si="28"/>
        <v>84.199999999999775</v>
      </c>
    </row>
    <row r="82" spans="1:14">
      <c r="A82" s="116"/>
      <c r="B82" s="116"/>
      <c r="C82" s="116">
        <f t="shared" si="18"/>
        <v>2</v>
      </c>
      <c r="D82" s="116">
        <f t="shared" si="23"/>
        <v>81</v>
      </c>
      <c r="E82" s="116">
        <f t="shared" si="24"/>
        <v>261</v>
      </c>
      <c r="F82" s="116">
        <f t="shared" si="19"/>
        <v>0.62183250000000001</v>
      </c>
      <c r="G82" s="116">
        <f t="shared" si="20"/>
        <v>37.309950000000001</v>
      </c>
      <c r="H82" s="116">
        <f t="shared" si="21"/>
        <v>55.2987184375</v>
      </c>
      <c r="I82" s="116">
        <v>198</v>
      </c>
      <c r="J82" s="116">
        <f t="shared" si="25"/>
        <v>3.2742781088351491E-2</v>
      </c>
      <c r="K82" s="116">
        <f t="shared" si="26"/>
        <v>11.246840123106699</v>
      </c>
      <c r="L82" s="116">
        <f t="shared" si="27"/>
        <v>11.446840123106702</v>
      </c>
      <c r="M82" s="116">
        <f t="shared" si="22"/>
        <v>7.4169474583690942</v>
      </c>
      <c r="N82" s="116">
        <f t="shared" si="28"/>
        <v>83.999999999999773</v>
      </c>
    </row>
    <row r="83" spans="1:14">
      <c r="A83" s="116"/>
      <c r="B83" s="116"/>
      <c r="C83" s="116">
        <f t="shared" si="18"/>
        <v>2</v>
      </c>
      <c r="D83" s="116">
        <f t="shared" si="23"/>
        <v>82</v>
      </c>
      <c r="E83" s="116">
        <f t="shared" si="24"/>
        <v>263</v>
      </c>
      <c r="F83" s="116">
        <f t="shared" si="19"/>
        <v>0.62659749999999992</v>
      </c>
      <c r="G83" s="116">
        <f t="shared" si="20"/>
        <v>37.595849999999999</v>
      </c>
      <c r="H83" s="116">
        <f t="shared" si="21"/>
        <v>54.676885937500003</v>
      </c>
      <c r="I83" s="116">
        <v>198</v>
      </c>
      <c r="J83" s="116">
        <f t="shared" si="25"/>
        <v>3.2064158504168029E-2</v>
      </c>
      <c r="K83" s="116">
        <f t="shared" si="26"/>
        <v>11.214775964602531</v>
      </c>
      <c r="L83" s="116">
        <f t="shared" si="27"/>
        <v>11.414775964602534</v>
      </c>
      <c r="M83" s="116">
        <f t="shared" si="22"/>
        <v>7.4506266740915326</v>
      </c>
      <c r="N83" s="116">
        <f t="shared" si="28"/>
        <v>83.79999999999977</v>
      </c>
    </row>
    <row r="84" spans="1:14">
      <c r="A84" s="116"/>
      <c r="B84" s="116"/>
      <c r="C84" s="116">
        <f t="shared" si="18"/>
        <v>2</v>
      </c>
      <c r="D84" s="116">
        <f t="shared" si="23"/>
        <v>83</v>
      </c>
      <c r="E84" s="116">
        <f t="shared" si="24"/>
        <v>265</v>
      </c>
      <c r="F84" s="116">
        <f t="shared" si="19"/>
        <v>0.63136250000000005</v>
      </c>
      <c r="G84" s="116">
        <f t="shared" si="20"/>
        <v>37.881750000000004</v>
      </c>
      <c r="H84" s="116">
        <f t="shared" si="21"/>
        <v>54.050288437500001</v>
      </c>
      <c r="I84" s="116">
        <v>198</v>
      </c>
      <c r="J84" s="116">
        <f t="shared" si="25"/>
        <v>3.1386955143598412E-2</v>
      </c>
      <c r="K84" s="116">
        <f t="shared" si="26"/>
        <v>11.183389009458931</v>
      </c>
      <c r="L84" s="116">
        <f t="shared" si="27"/>
        <v>11.383389009458934</v>
      </c>
      <c r="M84" s="116">
        <f t="shared" si="22"/>
        <v>7.4841443992487271</v>
      </c>
      <c r="N84" s="116">
        <f t="shared" si="28"/>
        <v>83.599999999999767</v>
      </c>
    </row>
    <row r="85" spans="1:14">
      <c r="A85" s="116"/>
      <c r="B85" s="116"/>
      <c r="C85" s="116">
        <f t="shared" si="18"/>
        <v>2</v>
      </c>
      <c r="D85" s="116">
        <f t="shared" si="23"/>
        <v>84</v>
      </c>
      <c r="E85" s="116">
        <f t="shared" si="24"/>
        <v>267</v>
      </c>
      <c r="F85" s="116">
        <f t="shared" si="19"/>
        <v>0.63612749999999996</v>
      </c>
      <c r="G85" s="116">
        <f t="shared" si="20"/>
        <v>38.167649999999995</v>
      </c>
      <c r="H85" s="116">
        <f t="shared" si="21"/>
        <v>53.418925937499999</v>
      </c>
      <c r="I85" s="116">
        <v>198</v>
      </c>
      <c r="J85" s="116">
        <f t="shared" si="25"/>
        <v>3.0711334071066236E-2</v>
      </c>
      <c r="K85" s="116">
        <f t="shared" si="26"/>
        <v>11.152677675387865</v>
      </c>
      <c r="L85" s="116">
        <f t="shared" si="27"/>
        <v>11.352677675387868</v>
      </c>
      <c r="M85" s="116">
        <f t="shared" si="22"/>
        <v>7.5174997475651439</v>
      </c>
      <c r="N85" s="116">
        <f t="shared" si="28"/>
        <v>83.399999999999764</v>
      </c>
    </row>
    <row r="86" spans="1:14">
      <c r="A86" s="116"/>
      <c r="B86" s="116"/>
      <c r="C86" s="116">
        <f t="shared" si="18"/>
        <v>2</v>
      </c>
      <c r="D86" s="116">
        <f t="shared" si="23"/>
        <v>85</v>
      </c>
      <c r="E86" s="116">
        <f t="shared" si="24"/>
        <v>269</v>
      </c>
      <c r="F86" s="116">
        <f t="shared" si="19"/>
        <v>0.64089249999999998</v>
      </c>
      <c r="G86" s="116">
        <f t="shared" si="20"/>
        <v>38.45355</v>
      </c>
      <c r="H86" s="116">
        <f t="shared" si="21"/>
        <v>52.782798437499999</v>
      </c>
      <c r="I86" s="116">
        <v>198</v>
      </c>
      <c r="J86" s="116">
        <f t="shared" si="25"/>
        <v>3.0037460185241074E-2</v>
      </c>
      <c r="K86" s="116">
        <f t="shared" si="26"/>
        <v>11.122640215202624</v>
      </c>
      <c r="L86" s="116">
        <f t="shared" si="27"/>
        <v>11.322640215202627</v>
      </c>
      <c r="M86" s="116">
        <f t="shared" si="22"/>
        <v>7.5506918529795124</v>
      </c>
      <c r="N86" s="116">
        <f t="shared" si="28"/>
        <v>83.199999999999761</v>
      </c>
    </row>
    <row r="87" spans="1:14">
      <c r="A87" s="116"/>
      <c r="B87" s="116"/>
      <c r="C87" s="116">
        <f t="shared" si="18"/>
        <v>2</v>
      </c>
      <c r="D87" s="116">
        <f t="shared" si="23"/>
        <v>86</v>
      </c>
      <c r="E87" s="116">
        <f t="shared" si="24"/>
        <v>271</v>
      </c>
      <c r="F87" s="116">
        <f t="shared" si="19"/>
        <v>0.6456575</v>
      </c>
      <c r="G87" s="116">
        <f t="shared" si="20"/>
        <v>38.739449999999998</v>
      </c>
      <c r="H87" s="116">
        <f t="shared" si="21"/>
        <v>52.141905937499999</v>
      </c>
      <c r="I87" s="116">
        <v>198</v>
      </c>
      <c r="J87" s="116">
        <f t="shared" si="25"/>
        <v>2.9365500245076556E-2</v>
      </c>
      <c r="K87" s="116">
        <f t="shared" si="26"/>
        <v>11.093274714957548</v>
      </c>
      <c r="L87" s="116">
        <f t="shared" si="27"/>
        <v>11.293274714957551</v>
      </c>
      <c r="M87" s="116">
        <f t="shared" si="22"/>
        <v>7.5837198721648935</v>
      </c>
      <c r="N87" s="116">
        <f t="shared" si="28"/>
        <v>82.999999999999758</v>
      </c>
    </row>
    <row r="88" spans="1:14">
      <c r="A88" s="116"/>
      <c r="B88" s="116"/>
      <c r="C88" s="116">
        <f t="shared" si="18"/>
        <v>2</v>
      </c>
      <c r="D88" s="116">
        <f t="shared" si="23"/>
        <v>87</v>
      </c>
      <c r="E88" s="116">
        <f t="shared" si="24"/>
        <v>273</v>
      </c>
      <c r="F88" s="116">
        <f t="shared" si="19"/>
        <v>0.6504224999999999</v>
      </c>
      <c r="G88" s="116">
        <f t="shared" si="20"/>
        <v>39.025349999999996</v>
      </c>
      <c r="H88" s="116">
        <f t="shared" si="21"/>
        <v>51.4962484375</v>
      </c>
      <c r="I88" s="116">
        <v>198</v>
      </c>
      <c r="J88" s="116">
        <f t="shared" si="25"/>
        <v>2.8695622896964826E-2</v>
      </c>
      <c r="K88" s="116">
        <f t="shared" si="26"/>
        <v>11.064579092060583</v>
      </c>
      <c r="L88" s="116">
        <f t="shared" si="27"/>
        <v>11.264579092060586</v>
      </c>
      <c r="M88" s="116">
        <f t="shared" si="22"/>
        <v>7.6165829870324631</v>
      </c>
      <c r="N88" s="116">
        <f t="shared" si="28"/>
        <v>82.799999999999756</v>
      </c>
    </row>
    <row r="89" spans="1:14">
      <c r="A89" s="116"/>
      <c r="B89" s="116"/>
      <c r="C89" s="116">
        <f t="shared" si="18"/>
        <v>2</v>
      </c>
      <c r="D89" s="116">
        <f t="shared" si="23"/>
        <v>88</v>
      </c>
      <c r="E89" s="116">
        <f t="shared" si="24"/>
        <v>275</v>
      </c>
      <c r="F89" s="116">
        <f t="shared" si="19"/>
        <v>0.65518750000000003</v>
      </c>
      <c r="G89" s="116">
        <f t="shared" si="20"/>
        <v>39.311250000000001</v>
      </c>
      <c r="H89" s="116">
        <f t="shared" si="21"/>
        <v>50.845825937500003</v>
      </c>
      <c r="I89" s="116">
        <v>198</v>
      </c>
      <c r="J89" s="116">
        <f t="shared" si="25"/>
        <v>2.8027998703074184E-2</v>
      </c>
      <c r="K89" s="116">
        <f t="shared" si="26"/>
        <v>11.03655109335751</v>
      </c>
      <c r="L89" s="116">
        <f t="shared" si="27"/>
        <v>11.236551093357512</v>
      </c>
      <c r="M89" s="116">
        <f t="shared" si="22"/>
        <v>7.6492804072174847</v>
      </c>
      <c r="N89" s="116">
        <f t="shared" si="28"/>
        <v>82.599999999999753</v>
      </c>
    </row>
    <row r="90" spans="1:14">
      <c r="A90" s="116"/>
      <c r="B90" s="116"/>
      <c r="C90" s="116">
        <f t="shared" si="18"/>
        <v>2</v>
      </c>
      <c r="D90" s="116">
        <f t="shared" si="23"/>
        <v>89</v>
      </c>
      <c r="E90" s="116">
        <f t="shared" si="24"/>
        <v>277</v>
      </c>
      <c r="F90" s="116">
        <f t="shared" si="19"/>
        <v>0.65995249999999994</v>
      </c>
      <c r="G90" s="116">
        <f t="shared" si="20"/>
        <v>39.597149999999999</v>
      </c>
      <c r="H90" s="116">
        <f t="shared" si="21"/>
        <v>50.190638437500006</v>
      </c>
      <c r="I90" s="116">
        <v>198</v>
      </c>
      <c r="J90" s="116">
        <f t="shared" si="25"/>
        <v>2.7362800170941497E-2</v>
      </c>
      <c r="K90" s="116">
        <f t="shared" si="26"/>
        <v>11.009188293186568</v>
      </c>
      <c r="L90" s="116">
        <f t="shared" si="27"/>
        <v>11.209188293186571</v>
      </c>
      <c r="M90" s="116">
        <f t="shared" si="22"/>
        <v>7.681811372545992</v>
      </c>
      <c r="N90" s="116">
        <f t="shared" si="28"/>
        <v>82.39999999999975</v>
      </c>
    </row>
    <row r="91" spans="1:14">
      <c r="A91" s="116"/>
      <c r="B91" s="116"/>
      <c r="C91" s="116">
        <f t="shared" ref="C91:C107" si="29">E91-E90</f>
        <v>2</v>
      </c>
      <c r="D91" s="116">
        <f t="shared" si="23"/>
        <v>90</v>
      </c>
      <c r="E91" s="116">
        <f t="shared" si="24"/>
        <v>279</v>
      </c>
      <c r="F91" s="116">
        <f t="shared" si="19"/>
        <v>0.66471750000000007</v>
      </c>
      <c r="G91" s="116">
        <f t="shared" si="20"/>
        <v>39.883050000000004</v>
      </c>
      <c r="H91" s="116">
        <f t="shared" si="21"/>
        <v>49.530685937500003</v>
      </c>
      <c r="I91" s="116">
        <v>198</v>
      </c>
      <c r="J91" s="116">
        <f t="shared" si="25"/>
        <v>2.6700201784397085E-2</v>
      </c>
      <c r="K91" s="116">
        <f t="shared" si="26"/>
        <v>10.982488091402171</v>
      </c>
      <c r="L91" s="116">
        <f t="shared" si="27"/>
        <v>11.182488091402174</v>
      </c>
      <c r="M91" s="116">
        <f t="shared" si="22"/>
        <v>7.7141751554806461</v>
      </c>
      <c r="N91" s="116">
        <f t="shared" si="28"/>
        <v>82.199999999999747</v>
      </c>
    </row>
    <row r="92" spans="1:14">
      <c r="A92" s="116"/>
      <c r="B92" s="116"/>
      <c r="C92" s="116">
        <f t="shared" si="29"/>
        <v>2</v>
      </c>
      <c r="D92" s="116">
        <f t="shared" si="23"/>
        <v>91</v>
      </c>
      <c r="E92" s="116">
        <f t="shared" si="24"/>
        <v>281</v>
      </c>
      <c r="F92" s="116">
        <f t="shared" si="19"/>
        <v>0.66948249999999998</v>
      </c>
      <c r="G92" s="116">
        <f t="shared" si="20"/>
        <v>40.168949999999995</v>
      </c>
      <c r="H92" s="116">
        <f t="shared" si="21"/>
        <v>48.865968437500001</v>
      </c>
      <c r="I92" s="116">
        <v>198</v>
      </c>
      <c r="J92" s="116">
        <f t="shared" si="25"/>
        <v>2.6040380035905697E-2</v>
      </c>
      <c r="K92" s="116">
        <f t="shared" si="26"/>
        <v>10.956447711366266</v>
      </c>
      <c r="L92" s="116">
        <f t="shared" si="27"/>
        <v>11.156447711366269</v>
      </c>
      <c r="M92" s="116">
        <f t="shared" si="22"/>
        <v>7.7463710635442382</v>
      </c>
      <c r="N92" s="116">
        <f t="shared" si="28"/>
        <v>81.999999999999744</v>
      </c>
    </row>
    <row r="93" spans="1:14">
      <c r="A93" s="116"/>
      <c r="B93" s="116"/>
      <c r="C93" s="116">
        <f t="shared" si="29"/>
        <v>2</v>
      </c>
      <c r="D93" s="116">
        <f t="shared" si="23"/>
        <v>92</v>
      </c>
      <c r="E93" s="116">
        <f t="shared" si="24"/>
        <v>283</v>
      </c>
      <c r="F93" s="116">
        <f t="shared" si="19"/>
        <v>0.6742475</v>
      </c>
      <c r="G93" s="116">
        <f t="shared" si="20"/>
        <v>40.45485</v>
      </c>
      <c r="H93" s="116">
        <f t="shared" si="21"/>
        <v>48.1964859375</v>
      </c>
      <c r="I93" s="116">
        <v>198</v>
      </c>
      <c r="J93" s="116">
        <f t="shared" si="25"/>
        <v>2.5383513460413974E-2</v>
      </c>
      <c r="K93" s="116">
        <f t="shared" si="26"/>
        <v>10.931064197905853</v>
      </c>
      <c r="L93" s="116">
        <f t="shared" si="27"/>
        <v>11.131064197905856</v>
      </c>
      <c r="M93" s="116">
        <f t="shared" si="22"/>
        <v>7.778398441719367</v>
      </c>
      <c r="N93" s="116">
        <f t="shared" si="28"/>
        <v>81.799999999999741</v>
      </c>
    </row>
    <row r="94" spans="1:14">
      <c r="A94" s="116"/>
      <c r="B94" s="116"/>
      <c r="C94" s="116">
        <f t="shared" si="29"/>
        <v>2</v>
      </c>
      <c r="D94" s="116">
        <f t="shared" si="23"/>
        <v>93</v>
      </c>
      <c r="E94" s="116">
        <f t="shared" si="24"/>
        <v>285</v>
      </c>
      <c r="F94" s="116">
        <f t="shared" si="19"/>
        <v>0.67901250000000002</v>
      </c>
      <c r="G94" s="116">
        <f t="shared" si="20"/>
        <v>40.740749999999998</v>
      </c>
      <c r="H94" s="116">
        <f t="shared" si="21"/>
        <v>47.5222384375</v>
      </c>
      <c r="I94" s="116">
        <v>198</v>
      </c>
      <c r="J94" s="116">
        <f t="shared" si="25"/>
        <v>2.4729782670802648E-2</v>
      </c>
      <c r="K94" s="116">
        <f t="shared" si="26"/>
        <v>10.906334415235049</v>
      </c>
      <c r="L94" s="116">
        <f t="shared" si="27"/>
        <v>11.106334415235052</v>
      </c>
      <c r="M94" s="116">
        <f t="shared" si="22"/>
        <v>7.8102566748227611</v>
      </c>
      <c r="N94" s="116">
        <f t="shared" si="28"/>
        <v>81.599999999999739</v>
      </c>
    </row>
    <row r="95" spans="1:14">
      <c r="A95" s="116"/>
      <c r="B95" s="116"/>
      <c r="C95" s="116">
        <f t="shared" si="29"/>
        <v>2</v>
      </c>
      <c r="D95" s="116">
        <f t="shared" si="23"/>
        <v>94</v>
      </c>
      <c r="E95" s="116">
        <f t="shared" si="24"/>
        <v>287</v>
      </c>
      <c r="F95" s="116">
        <f t="shared" si="19"/>
        <v>0.68377749999999993</v>
      </c>
      <c r="G95" s="116">
        <f t="shared" si="20"/>
        <v>41.026649999999997</v>
      </c>
      <c r="H95" s="116">
        <f t="shared" si="21"/>
        <v>46.843225937500002</v>
      </c>
      <c r="I95" s="116">
        <v>198</v>
      </c>
      <c r="J95" s="116">
        <f t="shared" si="25"/>
        <v>2.4079370395049624E-2</v>
      </c>
      <c r="K95" s="116">
        <f t="shared" si="26"/>
        <v>10.882255044839999</v>
      </c>
      <c r="L95" s="116">
        <f t="shared" si="27"/>
        <v>11.082255044840002</v>
      </c>
      <c r="M95" s="116">
        <f t="shared" si="22"/>
        <v>7.8419451898528418</v>
      </c>
      <c r="N95" s="116">
        <f t="shared" si="28"/>
        <v>81.399999999999736</v>
      </c>
    </row>
    <row r="96" spans="1:14">
      <c r="A96" s="116"/>
      <c r="B96" s="116"/>
      <c r="C96" s="116">
        <f t="shared" si="29"/>
        <v>2</v>
      </c>
      <c r="D96" s="116">
        <f t="shared" si="23"/>
        <v>95</v>
      </c>
      <c r="E96" s="116">
        <f t="shared" si="24"/>
        <v>289</v>
      </c>
      <c r="F96" s="116">
        <f t="shared" si="19"/>
        <v>0.68854250000000006</v>
      </c>
      <c r="G96" s="116">
        <f t="shared" si="20"/>
        <v>41.312550000000002</v>
      </c>
      <c r="H96" s="116">
        <f t="shared" si="21"/>
        <v>46.159448437500004</v>
      </c>
      <c r="I96" s="116">
        <v>198</v>
      </c>
      <c r="J96" s="116">
        <f t="shared" si="25"/>
        <v>2.3432461515219497E-2</v>
      </c>
      <c r="K96" s="116">
        <f t="shared" si="26"/>
        <v>10.858822583324779</v>
      </c>
      <c r="L96" s="116">
        <f t="shared" si="27"/>
        <v>11.058822583324782</v>
      </c>
      <c r="M96" s="116">
        <f t="shared" si="22"/>
        <v>7.8734634583090966</v>
      </c>
      <c r="N96" s="116">
        <f t="shared" si="28"/>
        <v>81.199999999999733</v>
      </c>
    </row>
    <row r="97" spans="1:14">
      <c r="A97" s="116"/>
      <c r="B97" s="116"/>
      <c r="C97" s="116">
        <f t="shared" si="29"/>
        <v>2</v>
      </c>
      <c r="D97" s="116">
        <f t="shared" si="23"/>
        <v>96</v>
      </c>
      <c r="E97" s="116">
        <f t="shared" si="24"/>
        <v>291</v>
      </c>
      <c r="F97" s="116">
        <f t="shared" si="19"/>
        <v>0.69330749999999997</v>
      </c>
      <c r="G97" s="116">
        <f t="shared" si="20"/>
        <v>41.59845</v>
      </c>
      <c r="H97" s="116">
        <f t="shared" si="21"/>
        <v>45.470905937500007</v>
      </c>
      <c r="I97" s="116">
        <v>198</v>
      </c>
      <c r="J97" s="116">
        <f t="shared" si="25"/>
        <v>2.278924310840506E-2</v>
      </c>
      <c r="K97" s="116">
        <f t="shared" si="26"/>
        <v>10.836033340216373</v>
      </c>
      <c r="L97" s="116">
        <f t="shared" si="27"/>
        <v>11.036033340216376</v>
      </c>
      <c r="M97" s="116">
        <f t="shared" si="22"/>
        <v>7.9048109984819224</v>
      </c>
      <c r="N97" s="116">
        <f t="shared" si="28"/>
        <v>80.99999999999973</v>
      </c>
    </row>
    <row r="98" spans="1:14">
      <c r="A98" s="116"/>
      <c r="B98" s="116"/>
      <c r="C98" s="116">
        <f t="shared" si="29"/>
        <v>2</v>
      </c>
      <c r="D98" s="116">
        <f t="shared" si="23"/>
        <v>97</v>
      </c>
      <c r="E98" s="116">
        <f t="shared" si="24"/>
        <v>293</v>
      </c>
      <c r="F98" s="116">
        <f t="shared" ref="F98:F129" si="30">(E98*C98*2*$A$2/($A$4^2))</f>
        <v>0.69807249999999998</v>
      </c>
      <c r="G98" s="116">
        <f t="shared" ref="G98:G129" si="31">(E98*C98*2*$A$2/($A$4^2))*60</f>
        <v>41.884349999999998</v>
      </c>
      <c r="H98" s="116">
        <f t="shared" si="21"/>
        <v>44.777598437500004</v>
      </c>
      <c r="I98" s="116">
        <v>198</v>
      </c>
      <c r="J98" s="116">
        <f t="shared" si="25"/>
        <v>2.2149904489757444E-2</v>
      </c>
      <c r="K98" s="116">
        <f t="shared" si="26"/>
        <v>10.813883435726616</v>
      </c>
      <c r="L98" s="116">
        <f t="shared" si="27"/>
        <v>11.013883435726619</v>
      </c>
      <c r="M98" s="116">
        <f t="shared" ref="M98:M129" si="32">(F98*60/(0.0666*(K98*9.8)^0.5*0.97))^0.5</f>
        <v>7.9359873777116716</v>
      </c>
      <c r="N98" s="116">
        <f t="shared" si="28"/>
        <v>80.799999999999727</v>
      </c>
    </row>
    <row r="99" spans="1:14">
      <c r="A99" s="116"/>
      <c r="B99" s="116"/>
      <c r="C99" s="116">
        <f t="shared" si="29"/>
        <v>2</v>
      </c>
      <c r="D99" s="116">
        <f t="shared" ref="D99:D130" si="33">D98+1</f>
        <v>98</v>
      </c>
      <c r="E99" s="116">
        <f t="shared" ref="E99:E130" si="34">E98+C98</f>
        <v>295</v>
      </c>
      <c r="F99" s="116">
        <f t="shared" si="30"/>
        <v>0.7028375</v>
      </c>
      <c r="G99" s="116">
        <f t="shared" si="31"/>
        <v>42.170250000000003</v>
      </c>
      <c r="H99" s="116">
        <f t="shared" si="21"/>
        <v>44.079525937500001</v>
      </c>
      <c r="I99" s="116">
        <v>198</v>
      </c>
      <c r="J99" s="116">
        <f t="shared" si="25"/>
        <v>2.1514637257754293E-2</v>
      </c>
      <c r="K99" s="116">
        <f t="shared" ref="K99:K130" si="35">K98-J99</f>
        <v>10.792368798468862</v>
      </c>
      <c r="L99" s="116">
        <f t="shared" si="27"/>
        <v>10.992368798468865</v>
      </c>
      <c r="M99" s="116">
        <f t="shared" si="32"/>
        <v>7.9669922146156766</v>
      </c>
      <c r="N99" s="116">
        <f t="shared" si="28"/>
        <v>80.599999999999724</v>
      </c>
    </row>
    <row r="100" spans="1:14">
      <c r="A100" s="116"/>
      <c r="B100" s="116"/>
      <c r="C100" s="116">
        <f t="shared" si="29"/>
        <v>2</v>
      </c>
      <c r="D100" s="116">
        <f t="shared" si="33"/>
        <v>99</v>
      </c>
      <c r="E100" s="116">
        <f t="shared" si="34"/>
        <v>297</v>
      </c>
      <c r="F100" s="116">
        <f t="shared" si="30"/>
        <v>0.70760249999999991</v>
      </c>
      <c r="G100" s="116">
        <f t="shared" si="31"/>
        <v>42.456149999999994</v>
      </c>
      <c r="H100" s="116">
        <f t="shared" si="21"/>
        <v>43.3766884375</v>
      </c>
      <c r="I100" s="116">
        <v>198</v>
      </c>
      <c r="J100" s="116">
        <f t="shared" si="25"/>
        <v>2.0883635341868774E-2</v>
      </c>
      <c r="K100" s="116">
        <f t="shared" si="35"/>
        <v>10.771485163126993</v>
      </c>
      <c r="L100" s="116">
        <f t="shared" si="27"/>
        <v>10.971485163126996</v>
      </c>
      <c r="M100" s="116">
        <f t="shared" si="32"/>
        <v>7.9978251812821624</v>
      </c>
      <c r="N100" s="116">
        <f t="shared" si="28"/>
        <v>80.399999999999721</v>
      </c>
    </row>
    <row r="101" spans="1:14">
      <c r="A101" s="116"/>
      <c r="B101" s="116"/>
      <c r="C101" s="116">
        <f t="shared" si="29"/>
        <v>2</v>
      </c>
      <c r="D101" s="116">
        <f t="shared" si="33"/>
        <v>100</v>
      </c>
      <c r="E101" s="116">
        <f t="shared" si="34"/>
        <v>299</v>
      </c>
      <c r="F101" s="116">
        <f t="shared" si="30"/>
        <v>0.71236750000000004</v>
      </c>
      <c r="G101" s="116">
        <f t="shared" si="31"/>
        <v>42.742050000000006</v>
      </c>
      <c r="H101" s="116">
        <f t="shared" si="21"/>
        <v>42.6690859375</v>
      </c>
      <c r="I101" s="116">
        <v>198</v>
      </c>
      <c r="J101" s="116">
        <f t="shared" si="25"/>
        <v>2.0257095052817854E-2</v>
      </c>
      <c r="K101" s="116">
        <f t="shared" si="35"/>
        <v>10.751228068074175</v>
      </c>
      <c r="L101" s="116">
        <f t="shared" si="27"/>
        <v>10.951228068074178</v>
      </c>
      <c r="M101" s="116">
        <f t="shared" si="32"/>
        <v>8.0284860054300413</v>
      </c>
      <c r="N101" s="116">
        <f t="shared" si="28"/>
        <v>80.199999999999719</v>
      </c>
    </row>
    <row r="102" spans="1:14">
      <c r="A102" s="116"/>
      <c r="B102" s="116"/>
      <c r="C102" s="116">
        <f t="shared" si="29"/>
        <v>2</v>
      </c>
      <c r="D102" s="116">
        <f t="shared" si="33"/>
        <v>101</v>
      </c>
      <c r="E102" s="116">
        <f t="shared" si="34"/>
        <v>301</v>
      </c>
      <c r="F102" s="116">
        <f t="shared" si="30"/>
        <v>0.71713249999999995</v>
      </c>
      <c r="G102" s="116">
        <f t="shared" si="31"/>
        <v>43.027949999999997</v>
      </c>
      <c r="H102" s="116">
        <f t="shared" si="21"/>
        <v>41.956718437500001</v>
      </c>
      <c r="I102" s="116">
        <v>198</v>
      </c>
      <c r="J102" s="116">
        <f t="shared" si="25"/>
        <v>1.9635215135585495E-2</v>
      </c>
      <c r="K102" s="116">
        <f t="shared" si="35"/>
        <v>10.73159285293859</v>
      </c>
      <c r="L102" s="116">
        <f t="shared" si="27"/>
        <v>10.931592852938593</v>
      </c>
      <c r="M102" s="116">
        <f t="shared" si="32"/>
        <v>8.0589744725336789</v>
      </c>
      <c r="N102" s="116">
        <f t="shared" si="28"/>
        <v>79.999999999999716</v>
      </c>
    </row>
    <row r="103" spans="1:14">
      <c r="A103" s="116"/>
      <c r="B103" s="116"/>
      <c r="C103" s="116">
        <f t="shared" si="29"/>
        <v>2</v>
      </c>
      <c r="D103" s="116">
        <f t="shared" si="33"/>
        <v>102</v>
      </c>
      <c r="E103" s="116">
        <f t="shared" si="34"/>
        <v>303</v>
      </c>
      <c r="F103" s="116">
        <f t="shared" si="30"/>
        <v>0.72189749999999997</v>
      </c>
      <c r="G103" s="116">
        <f t="shared" si="31"/>
        <v>43.313849999999995</v>
      </c>
      <c r="H103" s="116">
        <f t="shared" si="21"/>
        <v>41.239585937500003</v>
      </c>
      <c r="I103" s="116">
        <v>198</v>
      </c>
      <c r="J103" s="116">
        <f t="shared" si="25"/>
        <v>1.9018196825435443E-2</v>
      </c>
      <c r="K103" s="116">
        <f t="shared" si="35"/>
        <v>10.712574656113155</v>
      </c>
      <c r="L103" s="116">
        <f t="shared" si="27"/>
        <v>10.912574656113158</v>
      </c>
      <c r="M103" s="116">
        <f t="shared" si="32"/>
        <v>8.0892904279119016</v>
      </c>
      <c r="N103" s="116">
        <f t="shared" si="28"/>
        <v>79.799999999999713</v>
      </c>
    </row>
    <row r="104" spans="1:14">
      <c r="A104" s="116"/>
      <c r="B104" s="116"/>
      <c r="C104" s="116">
        <f t="shared" si="29"/>
        <v>2</v>
      </c>
      <c r="D104" s="116">
        <f t="shared" si="33"/>
        <v>103</v>
      </c>
      <c r="E104" s="116">
        <f t="shared" si="34"/>
        <v>305</v>
      </c>
      <c r="F104" s="116">
        <f t="shared" si="30"/>
        <v>0.72666249999999999</v>
      </c>
      <c r="G104" s="116">
        <f t="shared" si="31"/>
        <v>43.59975</v>
      </c>
      <c r="H104" s="116">
        <f t="shared" si="21"/>
        <v>40.517688437500006</v>
      </c>
      <c r="I104" s="116">
        <v>198</v>
      </c>
      <c r="J104" s="116">
        <f t="shared" si="25"/>
        <v>1.8406243907149875E-2</v>
      </c>
      <c r="K104" s="116">
        <f t="shared" si="35"/>
        <v>10.694168412206006</v>
      </c>
      <c r="L104" s="116">
        <f t="shared" si="27"/>
        <v>10.894168412206009</v>
      </c>
      <c r="M104" s="116">
        <f t="shared" si="32"/>
        <v>8.1194337787805857</v>
      </c>
      <c r="N104" s="116">
        <f t="shared" si="28"/>
        <v>79.59999999999971</v>
      </c>
    </row>
    <row r="105" spans="1:14">
      <c r="A105" s="116"/>
      <c r="B105" s="116"/>
      <c r="C105" s="116">
        <f t="shared" si="29"/>
        <v>2</v>
      </c>
      <c r="D105" s="116">
        <f t="shared" si="33"/>
        <v>104</v>
      </c>
      <c r="E105" s="116">
        <f t="shared" si="34"/>
        <v>307</v>
      </c>
      <c r="F105" s="116">
        <f t="shared" si="30"/>
        <v>0.73142750000000001</v>
      </c>
      <c r="G105" s="116">
        <f t="shared" si="31"/>
        <v>43.885649999999998</v>
      </c>
      <c r="H105" s="116">
        <f t="shared" si="21"/>
        <v>39.791025937500002</v>
      </c>
      <c r="I105" s="116">
        <v>198</v>
      </c>
      <c r="J105" s="116">
        <f t="shared" si="25"/>
        <v>1.7799562777754581E-2</v>
      </c>
      <c r="K105" s="116">
        <f t="shared" si="35"/>
        <v>10.67636884942825</v>
      </c>
      <c r="L105" s="116">
        <f t="shared" si="27"/>
        <v>10.876368849428253</v>
      </c>
      <c r="M105" s="116">
        <f t="shared" si="32"/>
        <v>8.1494044962684029</v>
      </c>
      <c r="N105" s="116">
        <f t="shared" si="28"/>
        <v>79.399999999999707</v>
      </c>
    </row>
    <row r="106" spans="1:14">
      <c r="A106" s="116"/>
      <c r="B106" s="116"/>
      <c r="C106" s="116">
        <f t="shared" si="29"/>
        <v>2</v>
      </c>
      <c r="D106" s="116">
        <f t="shared" si="33"/>
        <v>105</v>
      </c>
      <c r="E106" s="116">
        <f t="shared" si="34"/>
        <v>309</v>
      </c>
      <c r="F106" s="116">
        <f t="shared" si="30"/>
        <v>0.73619250000000003</v>
      </c>
      <c r="G106" s="116">
        <f t="shared" si="31"/>
        <v>44.171550000000003</v>
      </c>
      <c r="H106" s="116">
        <f t="shared" si="21"/>
        <v>39.0595984375</v>
      </c>
      <c r="I106" s="116">
        <v>198</v>
      </c>
      <c r="J106" s="116">
        <f t="shared" si="25"/>
        <v>1.7198362513018269E-2</v>
      </c>
      <c r="K106" s="116">
        <f t="shared" si="35"/>
        <v>10.659170486915233</v>
      </c>
      <c r="L106" s="116">
        <f t="shared" si="27"/>
        <v>10.859170486915236</v>
      </c>
      <c r="M106" s="116">
        <f t="shared" si="32"/>
        <v>8.1792026173953722</v>
      </c>
      <c r="N106" s="116">
        <f t="shared" si="28"/>
        <v>79.199999999999704</v>
      </c>
    </row>
    <row r="107" spans="1:14">
      <c r="A107" s="116"/>
      <c r="B107" s="116"/>
      <c r="C107" s="116">
        <f t="shared" si="29"/>
        <v>2</v>
      </c>
      <c r="D107" s="116">
        <f t="shared" si="33"/>
        <v>106</v>
      </c>
      <c r="E107" s="116">
        <f t="shared" si="34"/>
        <v>311</v>
      </c>
      <c r="F107" s="116">
        <f t="shared" si="30"/>
        <v>0.74095749999999994</v>
      </c>
      <c r="G107" s="116">
        <f t="shared" si="31"/>
        <v>44.457449999999994</v>
      </c>
      <c r="H107" s="116">
        <f t="shared" si="21"/>
        <v>38.323405937499999</v>
      </c>
      <c r="I107" s="116">
        <v>198</v>
      </c>
      <c r="J107" s="116">
        <f t="shared" si="25"/>
        <v>1.6602854938044503E-2</v>
      </c>
      <c r="K107" s="116">
        <f t="shared" si="35"/>
        <v>10.642567631977188</v>
      </c>
      <c r="L107" s="116">
        <f t="shared" si="27"/>
        <v>10.842567631977191</v>
      </c>
      <c r="M107" s="116">
        <f t="shared" si="32"/>
        <v>8.2088282470141571</v>
      </c>
      <c r="N107" s="116">
        <f t="shared" si="28"/>
        <v>78.999999999999702</v>
      </c>
    </row>
    <row r="108" spans="1:14">
      <c r="A108" s="116"/>
      <c r="B108" s="116"/>
      <c r="C108" s="116">
        <v>2</v>
      </c>
      <c r="D108" s="116">
        <f t="shared" si="33"/>
        <v>107</v>
      </c>
      <c r="E108" s="116">
        <f t="shared" si="34"/>
        <v>313</v>
      </c>
      <c r="F108" s="116">
        <f t="shared" si="30"/>
        <v>0.74572249999999995</v>
      </c>
      <c r="G108" s="116">
        <f t="shared" si="31"/>
        <v>44.74335</v>
      </c>
      <c r="H108" s="116">
        <f t="shared" si="21"/>
        <v>37.582448437499998</v>
      </c>
      <c r="I108" s="116">
        <v>198</v>
      </c>
      <c r="J108" s="116">
        <f t="shared" si="25"/>
        <v>1.6013254702309819E-2</v>
      </c>
      <c r="K108" s="116">
        <f t="shared" si="35"/>
        <v>10.626554377274879</v>
      </c>
      <c r="L108" s="116">
        <f t="shared" si="27"/>
        <v>10.826554377274881</v>
      </c>
      <c r="M108" s="116">
        <f t="shared" si="32"/>
        <v>8.2382815597141565</v>
      </c>
      <c r="N108" s="116">
        <f t="shared" si="28"/>
        <v>78.799999999999699</v>
      </c>
    </row>
    <row r="109" spans="1:14">
      <c r="A109" s="116"/>
      <c r="B109" s="116"/>
      <c r="C109" s="116">
        <v>2</v>
      </c>
      <c r="D109" s="116">
        <f t="shared" si="33"/>
        <v>108</v>
      </c>
      <c r="E109" s="116">
        <f t="shared" si="34"/>
        <v>315</v>
      </c>
      <c r="F109" s="116">
        <f t="shared" si="30"/>
        <v>0.75048749999999997</v>
      </c>
      <c r="G109" s="116">
        <f t="shared" si="31"/>
        <v>45.029249999999998</v>
      </c>
      <c r="H109" s="116">
        <f t="shared" si="21"/>
        <v>36.836725937499999</v>
      </c>
      <c r="I109" s="116">
        <v>198</v>
      </c>
      <c r="J109" s="116">
        <f t="shared" si="25"/>
        <v>1.5429779359540484E-2</v>
      </c>
      <c r="K109" s="116">
        <f t="shared" si="35"/>
        <v>10.611124597915339</v>
      </c>
      <c r="L109" s="116">
        <f t="shared" si="27"/>
        <v>10.811124597915342</v>
      </c>
      <c r="M109" s="116">
        <f t="shared" si="32"/>
        <v>8.2675628016886762</v>
      </c>
      <c r="N109" s="116">
        <f t="shared" si="28"/>
        <v>78.599999999999696</v>
      </c>
    </row>
    <row r="110" spans="1:14">
      <c r="A110" s="116"/>
      <c r="B110" s="116"/>
      <c r="C110" s="116">
        <v>2</v>
      </c>
      <c r="D110" s="116">
        <f t="shared" si="33"/>
        <v>109</v>
      </c>
      <c r="E110" s="116">
        <f t="shared" si="34"/>
        <v>317</v>
      </c>
      <c r="F110" s="116">
        <f t="shared" si="30"/>
        <v>0.75525249999999999</v>
      </c>
      <c r="G110" s="116">
        <f t="shared" si="31"/>
        <v>45.315150000000003</v>
      </c>
      <c r="H110" s="116">
        <f t="shared" si="21"/>
        <v>36.0862384375</v>
      </c>
      <c r="I110" s="116">
        <v>198</v>
      </c>
      <c r="J110" s="116">
        <f t="shared" si="25"/>
        <v>1.485264945286615E-2</v>
      </c>
      <c r="K110" s="116">
        <f t="shared" si="35"/>
        <v>10.596271948462473</v>
      </c>
      <c r="L110" s="116">
        <f t="shared" si="27"/>
        <v>10.796271948462476</v>
      </c>
      <c r="M110" s="116">
        <f t="shared" si="32"/>
        <v>8.2966722925657628</v>
      </c>
      <c r="N110" s="116">
        <f t="shared" si="28"/>
        <v>78.399999999999693</v>
      </c>
    </row>
    <row r="111" spans="1:14">
      <c r="A111" s="116"/>
      <c r="B111" s="116"/>
      <c r="C111" s="116">
        <v>1.5</v>
      </c>
      <c r="D111" s="116">
        <f t="shared" si="33"/>
        <v>110</v>
      </c>
      <c r="E111" s="116">
        <f t="shared" si="34"/>
        <v>319</v>
      </c>
      <c r="F111" s="116">
        <f t="shared" si="30"/>
        <v>0.5700131249999999</v>
      </c>
      <c r="G111" s="116">
        <f t="shared" si="31"/>
        <v>34.200787499999997</v>
      </c>
      <c r="H111" s="116">
        <f t="shared" si="21"/>
        <v>35.330985937500003</v>
      </c>
      <c r="I111" s="116">
        <v>198</v>
      </c>
      <c r="J111" s="116">
        <f t="shared" si="25"/>
        <v>1.071156645430436E-2</v>
      </c>
      <c r="K111" s="116">
        <f t="shared" si="35"/>
        <v>10.585560382008168</v>
      </c>
      <c r="L111" s="116">
        <f t="shared" si="27"/>
        <v>10.785560382008171</v>
      </c>
      <c r="M111" s="116">
        <f t="shared" si="32"/>
        <v>7.2095820536164226</v>
      </c>
      <c r="N111" s="116">
        <f t="shared" si="28"/>
        <v>78.19999999999969</v>
      </c>
    </row>
    <row r="112" spans="1:14">
      <c r="A112" s="116"/>
      <c r="B112" s="116"/>
      <c r="C112" s="116">
        <f t="shared" ref="C112:C143" si="36">E112-E111</f>
        <v>1.5</v>
      </c>
      <c r="D112" s="116">
        <f t="shared" si="33"/>
        <v>111</v>
      </c>
      <c r="E112" s="116">
        <f t="shared" si="34"/>
        <v>320.5</v>
      </c>
      <c r="F112" s="116">
        <f t="shared" si="30"/>
        <v>0.57269343750000001</v>
      </c>
      <c r="G112" s="116">
        <f t="shared" si="31"/>
        <v>34.361606250000001</v>
      </c>
      <c r="H112" s="116">
        <f t="shared" si="21"/>
        <v>34.7609728125</v>
      </c>
      <c r="I112" s="116">
        <v>198</v>
      </c>
      <c r="J112" s="116">
        <f t="shared" si="25"/>
        <v>1.0393714045927283E-2</v>
      </c>
      <c r="K112" s="116">
        <f t="shared" si="35"/>
        <v>10.575166667962241</v>
      </c>
      <c r="L112" s="116">
        <f t="shared" si="27"/>
        <v>10.775166667962244</v>
      </c>
      <c r="M112" s="116">
        <f t="shared" si="32"/>
        <v>7.2282875775966948</v>
      </c>
      <c r="N112" s="116">
        <f t="shared" si="28"/>
        <v>77.999999999999687</v>
      </c>
    </row>
    <row r="113" spans="1:14">
      <c r="A113" s="116"/>
      <c r="B113" s="116"/>
      <c r="C113" s="116">
        <f t="shared" si="36"/>
        <v>1.5</v>
      </c>
      <c r="D113" s="116">
        <f t="shared" si="33"/>
        <v>112</v>
      </c>
      <c r="E113" s="116">
        <f t="shared" si="34"/>
        <v>322</v>
      </c>
      <c r="F113" s="116">
        <f t="shared" si="30"/>
        <v>0.57537375000000002</v>
      </c>
      <c r="G113" s="116">
        <f t="shared" si="31"/>
        <v>34.522424999999998</v>
      </c>
      <c r="H113" s="116">
        <f t="shared" si="21"/>
        <v>34.188279375</v>
      </c>
      <c r="I113" s="116">
        <v>198</v>
      </c>
      <c r="J113" s="116">
        <f t="shared" si="25"/>
        <v>1.0078808207284688E-2</v>
      </c>
      <c r="K113" s="116">
        <f t="shared" si="35"/>
        <v>10.565087859754957</v>
      </c>
      <c r="L113" s="116">
        <f t="shared" si="27"/>
        <v>10.76508785975496</v>
      </c>
      <c r="M113" s="116">
        <f t="shared" si="32"/>
        <v>7.2469100114164791</v>
      </c>
      <c r="N113" s="116">
        <f t="shared" si="28"/>
        <v>77.799999999999685</v>
      </c>
    </row>
    <row r="114" spans="1:14">
      <c r="A114" s="116"/>
      <c r="B114" s="116"/>
      <c r="C114" s="116">
        <f t="shared" si="36"/>
        <v>1.5</v>
      </c>
      <c r="D114" s="116">
        <f t="shared" si="33"/>
        <v>113</v>
      </c>
      <c r="E114" s="116">
        <f t="shared" si="34"/>
        <v>323.5</v>
      </c>
      <c r="F114" s="116">
        <f t="shared" si="30"/>
        <v>0.57805406249999991</v>
      </c>
      <c r="G114" s="116">
        <f t="shared" si="31"/>
        <v>34.683243749999995</v>
      </c>
      <c r="H114" s="116">
        <f t="shared" si="21"/>
        <v>33.612905625000003</v>
      </c>
      <c r="I114" s="116">
        <v>198</v>
      </c>
      <c r="J114" s="116">
        <f t="shared" si="25"/>
        <v>9.7669224776041029E-3</v>
      </c>
      <c r="K114" s="116">
        <f t="shared" si="35"/>
        <v>10.555320937277353</v>
      </c>
      <c r="L114" s="116">
        <f t="shared" si="27"/>
        <v>10.755320937277355</v>
      </c>
      <c r="M114" s="116">
        <f t="shared" si="32"/>
        <v>7.2654495713897713</v>
      </c>
      <c r="N114" s="116">
        <f t="shared" si="28"/>
        <v>77.599999999999682</v>
      </c>
    </row>
    <row r="115" spans="1:14">
      <c r="A115" s="116"/>
      <c r="B115" s="116"/>
      <c r="C115" s="116">
        <f t="shared" si="36"/>
        <v>1.5</v>
      </c>
      <c r="D115" s="116">
        <f t="shared" si="33"/>
        <v>114</v>
      </c>
      <c r="E115" s="116">
        <f t="shared" si="34"/>
        <v>325</v>
      </c>
      <c r="F115" s="116">
        <f t="shared" si="30"/>
        <v>0.58073437500000002</v>
      </c>
      <c r="G115" s="116">
        <f t="shared" si="31"/>
        <v>34.8440625</v>
      </c>
      <c r="H115" s="116">
        <f t="shared" si="21"/>
        <v>33.034851562500002</v>
      </c>
      <c r="I115" s="116">
        <v>198</v>
      </c>
      <c r="J115" s="116">
        <f t="shared" si="25"/>
        <v>9.4581312164295807E-3</v>
      </c>
      <c r="K115" s="116">
        <f t="shared" si="35"/>
        <v>10.545862806060923</v>
      </c>
      <c r="L115" s="116">
        <f t="shared" si="27"/>
        <v>10.745862806060925</v>
      </c>
      <c r="M115" s="116">
        <f t="shared" si="32"/>
        <v>7.2839064960830937</v>
      </c>
      <c r="N115" s="116">
        <f t="shared" si="28"/>
        <v>77.399999999999679</v>
      </c>
    </row>
    <row r="116" spans="1:14">
      <c r="A116" s="116"/>
      <c r="B116" s="116"/>
      <c r="C116" s="116">
        <f t="shared" si="36"/>
        <v>1.5</v>
      </c>
      <c r="D116" s="116">
        <f t="shared" si="33"/>
        <v>115</v>
      </c>
      <c r="E116" s="116">
        <f t="shared" si="34"/>
        <v>326.5</v>
      </c>
      <c r="F116" s="116">
        <f t="shared" si="30"/>
        <v>0.58341468749999992</v>
      </c>
      <c r="G116" s="116">
        <f t="shared" si="31"/>
        <v>35.004881249999997</v>
      </c>
      <c r="H116" s="116">
        <f t="shared" si="21"/>
        <v>32.454117187500003</v>
      </c>
      <c r="I116" s="116">
        <v>198</v>
      </c>
      <c r="J116" s="116">
        <f t="shared" si="25"/>
        <v>9.1525096256580025E-3</v>
      </c>
      <c r="K116" s="116">
        <f t="shared" si="35"/>
        <v>10.536710296435265</v>
      </c>
      <c r="L116" s="116">
        <f t="shared" si="27"/>
        <v>10.736710296435268</v>
      </c>
      <c r="M116" s="116">
        <f t="shared" si="32"/>
        <v>7.3022810466562529</v>
      </c>
      <c r="N116" s="116">
        <f t="shared" si="28"/>
        <v>77.199999999999676</v>
      </c>
    </row>
    <row r="117" spans="1:14">
      <c r="A117" s="116"/>
      <c r="B117" s="116"/>
      <c r="C117" s="116">
        <f t="shared" si="36"/>
        <v>1.5</v>
      </c>
      <c r="D117" s="116">
        <f t="shared" si="33"/>
        <v>116</v>
      </c>
      <c r="E117" s="116">
        <f t="shared" si="34"/>
        <v>328</v>
      </c>
      <c r="F117" s="116">
        <f t="shared" si="30"/>
        <v>0.58609500000000003</v>
      </c>
      <c r="G117" s="116">
        <f t="shared" si="31"/>
        <v>35.165700000000001</v>
      </c>
      <c r="H117" s="116">
        <f t="shared" si="21"/>
        <v>31.8707025</v>
      </c>
      <c r="I117" s="116">
        <v>198</v>
      </c>
      <c r="J117" s="116">
        <f t="shared" si="25"/>
        <v>8.8501337728503042E-3</v>
      </c>
      <c r="K117" s="116">
        <f t="shared" si="35"/>
        <v>10.527860162662416</v>
      </c>
      <c r="L117" s="116">
        <f t="shared" si="27"/>
        <v>10.727860162662418</v>
      </c>
      <c r="M117" s="116">
        <f t="shared" si="32"/>
        <v>7.3205735071989491</v>
      </c>
      <c r="N117" s="116">
        <f t="shared" si="28"/>
        <v>76.999999999999673</v>
      </c>
    </row>
    <row r="118" spans="1:14">
      <c r="A118" s="116"/>
      <c r="B118" s="116"/>
      <c r="C118" s="116">
        <f t="shared" si="36"/>
        <v>1.5</v>
      </c>
      <c r="D118" s="116">
        <f t="shared" si="33"/>
        <v>117</v>
      </c>
      <c r="E118" s="116">
        <f t="shared" si="34"/>
        <v>329.5</v>
      </c>
      <c r="F118" s="116">
        <f t="shared" si="30"/>
        <v>0.58877531250000004</v>
      </c>
      <c r="G118" s="116">
        <f t="shared" si="31"/>
        <v>35.326518750000005</v>
      </c>
      <c r="H118" s="116">
        <f t="shared" si="21"/>
        <v>31.2846075</v>
      </c>
      <c r="I118" s="116">
        <v>198</v>
      </c>
      <c r="J118" s="116">
        <f t="shared" si="25"/>
        <v>8.5510806159204717E-3</v>
      </c>
      <c r="K118" s="116">
        <f t="shared" si="35"/>
        <v>10.519309082046496</v>
      </c>
      <c r="L118" s="116">
        <f t="shared" si="27"/>
        <v>10.719309082046498</v>
      </c>
      <c r="M118" s="116">
        <f t="shared" si="32"/>
        <v>7.3387841850635525</v>
      </c>
      <c r="N118" s="116">
        <f t="shared" si="28"/>
        <v>76.79999999999967</v>
      </c>
    </row>
    <row r="119" spans="1:14">
      <c r="A119" s="116"/>
      <c r="B119" s="116"/>
      <c r="C119" s="116">
        <f t="shared" si="36"/>
        <v>1.5</v>
      </c>
      <c r="D119" s="116">
        <f t="shared" si="33"/>
        <v>118</v>
      </c>
      <c r="E119" s="116">
        <f t="shared" si="34"/>
        <v>331</v>
      </c>
      <c r="F119" s="116">
        <f t="shared" si="30"/>
        <v>0.59145562499999993</v>
      </c>
      <c r="G119" s="116">
        <f t="shared" si="31"/>
        <v>35.487337499999995</v>
      </c>
      <c r="H119" s="116">
        <f t="shared" si="21"/>
        <v>30.695832187499999</v>
      </c>
      <c r="I119" s="116">
        <v>198</v>
      </c>
      <c r="J119" s="116">
        <f t="shared" si="25"/>
        <v>8.2554280293157152E-3</v>
      </c>
      <c r="K119" s="116">
        <f t="shared" si="35"/>
        <v>10.51105365401718</v>
      </c>
      <c r="L119" s="116">
        <f t="shared" si="27"/>
        <v>10.711053654017183</v>
      </c>
      <c r="M119" s="116">
        <f t="shared" si="32"/>
        <v>7.3569134111944114</v>
      </c>
      <c r="N119" s="116">
        <f t="shared" si="28"/>
        <v>76.599999999999667</v>
      </c>
    </row>
    <row r="120" spans="1:14">
      <c r="A120" s="116"/>
      <c r="B120" s="116"/>
      <c r="C120" s="116">
        <f t="shared" si="36"/>
        <v>1.5</v>
      </c>
      <c r="D120" s="116">
        <f t="shared" si="33"/>
        <v>119</v>
      </c>
      <c r="E120" s="116">
        <f t="shared" si="34"/>
        <v>332.5</v>
      </c>
      <c r="F120" s="116">
        <f t="shared" si="30"/>
        <v>0.59413593750000004</v>
      </c>
      <c r="G120" s="116">
        <f t="shared" si="31"/>
        <v>35.64815625</v>
      </c>
      <c r="H120" s="116">
        <f t="shared" si="21"/>
        <v>30.104376562500001</v>
      </c>
      <c r="I120" s="116">
        <v>198</v>
      </c>
      <c r="J120" s="116">
        <f t="shared" si="25"/>
        <v>7.9632548318133572E-3</v>
      </c>
      <c r="K120" s="116">
        <f t="shared" si="35"/>
        <v>10.503090399185368</v>
      </c>
      <c r="L120" s="116">
        <f t="shared" si="27"/>
        <v>10.703090399185371</v>
      </c>
      <c r="M120" s="116">
        <f t="shared" si="32"/>
        <v>7.3749615404540947</v>
      </c>
      <c r="N120" s="116">
        <f t="shared" si="28"/>
        <v>76.399999999999665</v>
      </c>
    </row>
    <row r="121" spans="1:14">
      <c r="A121" s="116"/>
      <c r="B121" s="116"/>
      <c r="C121" s="116">
        <f t="shared" si="36"/>
        <v>1.5</v>
      </c>
      <c r="D121" s="116">
        <f t="shared" si="33"/>
        <v>120</v>
      </c>
      <c r="E121" s="116">
        <f t="shared" si="34"/>
        <v>334</v>
      </c>
      <c r="F121" s="116">
        <f t="shared" si="30"/>
        <v>0.59681624999999994</v>
      </c>
      <c r="G121" s="116">
        <f t="shared" si="31"/>
        <v>35.808974999999997</v>
      </c>
      <c r="H121" s="116">
        <f t="shared" si="21"/>
        <v>29.510240625000002</v>
      </c>
      <c r="I121" s="116">
        <v>198</v>
      </c>
      <c r="J121" s="116">
        <f t="shared" si="25"/>
        <v>7.6746408160734796E-3</v>
      </c>
      <c r="K121" s="116">
        <f t="shared" si="35"/>
        <v>10.495415758369294</v>
      </c>
      <c r="L121" s="116">
        <f t="shared" si="27"/>
        <v>10.695415758369297</v>
      </c>
      <c r="M121" s="116">
        <f t="shared" si="32"/>
        <v>7.3929289519470025</v>
      </c>
      <c r="N121" s="116">
        <f t="shared" si="28"/>
        <v>76.199999999999662</v>
      </c>
    </row>
    <row r="122" spans="1:14">
      <c r="A122" s="116"/>
      <c r="B122" s="116"/>
      <c r="C122" s="116">
        <f t="shared" si="36"/>
        <v>1.5</v>
      </c>
      <c r="D122" s="116">
        <f t="shared" si="33"/>
        <v>121</v>
      </c>
      <c r="E122" s="116">
        <f t="shared" si="34"/>
        <v>335.5</v>
      </c>
      <c r="F122" s="116">
        <f t="shared" si="30"/>
        <v>0.59949656249999994</v>
      </c>
      <c r="G122" s="116">
        <f t="shared" si="31"/>
        <v>35.969793749999994</v>
      </c>
      <c r="H122" s="116">
        <f t="shared" si="21"/>
        <v>28.913424375000002</v>
      </c>
      <c r="I122" s="116">
        <v>198</v>
      </c>
      <c r="J122" s="116">
        <f t="shared" si="25"/>
        <v>7.3896667801018846E-3</v>
      </c>
      <c r="K122" s="116">
        <f t="shared" si="35"/>
        <v>10.488026091589193</v>
      </c>
      <c r="L122" s="116">
        <f t="shared" si="27"/>
        <v>10.688026091589196</v>
      </c>
      <c r="M122" s="116">
        <f t="shared" si="32"/>
        <v>7.4108160493408315</v>
      </c>
      <c r="N122" s="116">
        <f t="shared" si="28"/>
        <v>75.999999999999659</v>
      </c>
    </row>
    <row r="123" spans="1:14">
      <c r="A123" s="116"/>
      <c r="B123" s="116"/>
      <c r="C123" s="116">
        <f t="shared" si="36"/>
        <v>1.5</v>
      </c>
      <c r="D123" s="116">
        <f t="shared" si="33"/>
        <v>122</v>
      </c>
      <c r="E123" s="116">
        <f t="shared" si="34"/>
        <v>337</v>
      </c>
      <c r="F123" s="116">
        <f t="shared" si="30"/>
        <v>0.60217687500000006</v>
      </c>
      <c r="G123" s="116">
        <f t="shared" si="31"/>
        <v>36.130612500000005</v>
      </c>
      <c r="H123" s="116">
        <f t="shared" si="21"/>
        <v>28.313927812500001</v>
      </c>
      <c r="I123" s="116">
        <v>198</v>
      </c>
      <c r="J123" s="116">
        <f t="shared" si="25"/>
        <v>7.108414560795342E-3</v>
      </c>
      <c r="K123" s="116">
        <f t="shared" si="35"/>
        <v>10.480917677028398</v>
      </c>
      <c r="L123" s="116">
        <f t="shared" si="27"/>
        <v>10.6809176770284</v>
      </c>
      <c r="M123" s="116">
        <f t="shared" si="32"/>
        <v>7.4286232611864644</v>
      </c>
      <c r="N123" s="116">
        <f t="shared" si="28"/>
        <v>75.799999999999656</v>
      </c>
    </row>
    <row r="124" spans="1:14">
      <c r="A124" s="116"/>
      <c r="B124" s="116"/>
      <c r="C124" s="116">
        <f t="shared" si="36"/>
        <v>1.5</v>
      </c>
      <c r="D124" s="116">
        <f t="shared" si="33"/>
        <v>123</v>
      </c>
      <c r="E124" s="116">
        <f t="shared" si="34"/>
        <v>338.5</v>
      </c>
      <c r="F124" s="116">
        <f t="shared" si="30"/>
        <v>0.60485718749999995</v>
      </c>
      <c r="G124" s="116">
        <f t="shared" si="31"/>
        <v>36.291431249999995</v>
      </c>
      <c r="H124" s="116">
        <f t="shared" si="21"/>
        <v>27.7117509375</v>
      </c>
      <c r="I124" s="116">
        <v>198</v>
      </c>
      <c r="J124" s="116">
        <f t="shared" si="25"/>
        <v>6.8309670697611676E-3</v>
      </c>
      <c r="K124" s="116">
        <f t="shared" si="35"/>
        <v>10.474086709958636</v>
      </c>
      <c r="L124" s="116">
        <f t="shared" si="27"/>
        <v>10.674086709958639</v>
      </c>
      <c r="M124" s="116">
        <f t="shared" si="32"/>
        <v>7.4463510412368263</v>
      </c>
      <c r="N124" s="116">
        <f t="shared" si="28"/>
        <v>75.599999999999653</v>
      </c>
    </row>
    <row r="125" spans="1:14">
      <c r="A125" s="116"/>
      <c r="B125" s="116"/>
      <c r="C125" s="116">
        <f t="shared" si="36"/>
        <v>1.5</v>
      </c>
      <c r="D125" s="116">
        <f t="shared" si="33"/>
        <v>124</v>
      </c>
      <c r="E125" s="116">
        <f t="shared" si="34"/>
        <v>340</v>
      </c>
      <c r="F125" s="116">
        <f t="shared" si="30"/>
        <v>0.60753749999999995</v>
      </c>
      <c r="G125" s="116">
        <f t="shared" si="31"/>
        <v>36.452249999999999</v>
      </c>
      <c r="H125" s="116">
        <f t="shared" si="21"/>
        <v>27.106893750000001</v>
      </c>
      <c r="I125" s="116">
        <v>198</v>
      </c>
      <c r="J125" s="116">
        <f t="shared" si="25"/>
        <v>6.5574083316258594E-3</v>
      </c>
      <c r="K125" s="116">
        <f t="shared" si="35"/>
        <v>10.46752930162701</v>
      </c>
      <c r="L125" s="116">
        <f t="shared" si="27"/>
        <v>10.667529301627013</v>
      </c>
      <c r="M125" s="116">
        <f t="shared" si="32"/>
        <v>7.4639998687654403</v>
      </c>
      <c r="N125" s="116">
        <f t="shared" si="28"/>
        <v>75.39999999999965</v>
      </c>
    </row>
    <row r="126" spans="1:14">
      <c r="A126" s="116"/>
      <c r="B126" s="116"/>
      <c r="C126" s="116">
        <f t="shared" si="36"/>
        <v>1.5</v>
      </c>
      <c r="D126" s="116">
        <f t="shared" si="33"/>
        <v>125</v>
      </c>
      <c r="E126" s="116">
        <f t="shared" si="34"/>
        <v>341.5</v>
      </c>
      <c r="F126" s="116">
        <f t="shared" si="30"/>
        <v>0.61021781249999996</v>
      </c>
      <c r="G126" s="116">
        <f t="shared" si="31"/>
        <v>36.613068749999996</v>
      </c>
      <c r="H126" s="116">
        <f t="shared" si="21"/>
        <v>26.499356250000002</v>
      </c>
      <c r="I126" s="116">
        <v>198</v>
      </c>
      <c r="J126" s="116">
        <f t="shared" si="25"/>
        <v>6.2878235250737749E-3</v>
      </c>
      <c r="K126" s="116">
        <f t="shared" si="35"/>
        <v>10.461241478101936</v>
      </c>
      <c r="L126" s="116">
        <f t="shared" si="27"/>
        <v>10.661241478101939</v>
      </c>
      <c r="M126" s="116">
        <f t="shared" si="32"/>
        <v>7.4815702488853084</v>
      </c>
      <c r="N126" s="116">
        <f t="shared" si="28"/>
        <v>75.199999999999648</v>
      </c>
    </row>
    <row r="127" spans="1:14">
      <c r="A127" s="116"/>
      <c r="B127" s="116"/>
      <c r="C127" s="116">
        <f t="shared" si="36"/>
        <v>1.5</v>
      </c>
      <c r="D127" s="116">
        <f t="shared" si="33"/>
        <v>126</v>
      </c>
      <c r="E127" s="116">
        <f t="shared" si="34"/>
        <v>343</v>
      </c>
      <c r="F127" s="116">
        <f t="shared" si="30"/>
        <v>0.61289812499999996</v>
      </c>
      <c r="G127" s="116">
        <f t="shared" si="31"/>
        <v>36.773887500000001</v>
      </c>
      <c r="H127" s="116">
        <f t="shared" si="21"/>
        <v>25.889138437500002</v>
      </c>
      <c r="I127" s="116">
        <v>198</v>
      </c>
      <c r="J127" s="116">
        <f t="shared" si="25"/>
        <v>6.0222990268868791E-3</v>
      </c>
      <c r="K127" s="116">
        <f t="shared" si="35"/>
        <v>10.455219179075049</v>
      </c>
      <c r="L127" s="116">
        <f t="shared" si="27"/>
        <v>10.655219179075052</v>
      </c>
      <c r="M127" s="116">
        <f t="shared" si="32"/>
        <v>7.4990627128690095</v>
      </c>
      <c r="N127" s="116">
        <f t="shared" si="28"/>
        <v>74.999999999999645</v>
      </c>
    </row>
    <row r="128" spans="1:14">
      <c r="A128" s="116"/>
      <c r="B128" s="116"/>
      <c r="C128" s="116">
        <f t="shared" si="36"/>
        <v>1.5</v>
      </c>
      <c r="D128" s="116">
        <f t="shared" si="33"/>
        <v>127</v>
      </c>
      <c r="E128" s="116">
        <f t="shared" si="34"/>
        <v>344.5</v>
      </c>
      <c r="F128" s="116">
        <f t="shared" si="30"/>
        <v>0.61557843749999996</v>
      </c>
      <c r="G128" s="116">
        <f t="shared" si="31"/>
        <v>36.934706249999998</v>
      </c>
      <c r="H128" s="116">
        <f t="shared" si="21"/>
        <v>25.276240312500001</v>
      </c>
      <c r="I128" s="116">
        <v>198</v>
      </c>
      <c r="J128" s="116">
        <f t="shared" si="25"/>
        <v>5.7609224592912352E-3</v>
      </c>
      <c r="K128" s="116">
        <f t="shared" si="35"/>
        <v>10.449458256615758</v>
      </c>
      <c r="L128" s="116">
        <f t="shared" si="27"/>
        <v>10.649458256615761</v>
      </c>
      <c r="M128" s="116">
        <f t="shared" si="32"/>
        <v>7.5164778184708041</v>
      </c>
      <c r="N128" s="116">
        <f t="shared" si="28"/>
        <v>74.799999999999642</v>
      </c>
    </row>
    <row r="129" spans="1:14">
      <c r="A129" s="116"/>
      <c r="B129" s="116"/>
      <c r="C129" s="116">
        <f t="shared" si="36"/>
        <v>1.5</v>
      </c>
      <c r="D129" s="116">
        <f t="shared" si="33"/>
        <v>128</v>
      </c>
      <c r="E129" s="116">
        <f t="shared" si="34"/>
        <v>346</v>
      </c>
      <c r="F129" s="116">
        <f t="shared" si="30"/>
        <v>0.61825874999999997</v>
      </c>
      <c r="G129" s="116">
        <f t="shared" si="31"/>
        <v>37.095524999999995</v>
      </c>
      <c r="H129" s="116">
        <f t="shared" si="21"/>
        <v>24.660661874999999</v>
      </c>
      <c r="I129" s="116">
        <v>198</v>
      </c>
      <c r="J129" s="116">
        <f t="shared" si="25"/>
        <v>5.5037827409562083E-3</v>
      </c>
      <c r="K129" s="116">
        <f t="shared" si="35"/>
        <v>10.443954473874802</v>
      </c>
      <c r="L129" s="116">
        <f t="shared" si="27"/>
        <v>10.643954473874805</v>
      </c>
      <c r="M129" s="116">
        <f t="shared" si="32"/>
        <v>7.5338161502517735</v>
      </c>
      <c r="N129" s="116">
        <f t="shared" si="28"/>
        <v>74.599999999999639</v>
      </c>
    </row>
    <row r="130" spans="1:14">
      <c r="A130" s="116"/>
      <c r="B130" s="116"/>
      <c r="C130" s="116">
        <f t="shared" si="36"/>
        <v>1.5</v>
      </c>
      <c r="D130" s="116">
        <f t="shared" si="33"/>
        <v>129</v>
      </c>
      <c r="E130" s="116">
        <f t="shared" si="34"/>
        <v>347.5</v>
      </c>
      <c r="F130" s="116">
        <f t="shared" ref="F130:F161" si="37">(E130*C130*2*$A$2/($A$4^2))</f>
        <v>0.62093906249999997</v>
      </c>
      <c r="G130" s="116">
        <f t="shared" ref="G130:G165" si="38">(E130*C130*2*$A$2/($A$4^2))*60</f>
        <v>37.256343749999999</v>
      </c>
      <c r="H130" s="116">
        <f t="shared" ref="H130:H163" si="39">F130+H131</f>
        <v>24.042403125</v>
      </c>
      <c r="I130" s="116">
        <v>198</v>
      </c>
      <c r="J130" s="116">
        <f t="shared" si="25"/>
        <v>5.2509701420389932E-3</v>
      </c>
      <c r="K130" s="116">
        <f t="shared" si="35"/>
        <v>10.438703503732762</v>
      </c>
      <c r="L130" s="116">
        <f t="shared" si="27"/>
        <v>10.638703503732765</v>
      </c>
      <c r="M130" s="116">
        <f t="shared" ref="M130:M165" si="40">(F130*60/(0.0666*(K130*9.8)^0.5*0.97))^0.5</f>
        <v>7.5510783199089939</v>
      </c>
      <c r="N130" s="116">
        <f t="shared" si="28"/>
        <v>74.399999999999636</v>
      </c>
    </row>
    <row r="131" spans="1:14">
      <c r="A131" s="116"/>
      <c r="B131" s="116"/>
      <c r="C131" s="116">
        <f t="shared" si="36"/>
        <v>1.5</v>
      </c>
      <c r="D131" s="116">
        <f t="shared" ref="D131:D165" si="41">D130+1</f>
        <v>130</v>
      </c>
      <c r="E131" s="116">
        <f t="shared" ref="E131:E165" si="42">E130+C130</f>
        <v>349</v>
      </c>
      <c r="F131" s="116">
        <f t="shared" si="37"/>
        <v>0.62361937499999998</v>
      </c>
      <c r="G131" s="116">
        <f t="shared" si="38"/>
        <v>37.417162499999996</v>
      </c>
      <c r="H131" s="116">
        <f t="shared" si="39"/>
        <v>23.4214640625</v>
      </c>
      <c r="I131" s="116">
        <v>198</v>
      </c>
      <c r="J131" s="116">
        <f t="shared" ref="J131:J165" si="43">12200000000*(C131)*((H131/$A$8)^1.852/(I131^4.87))</f>
        <v>5.002576343721506E-3</v>
      </c>
      <c r="K131" s="116">
        <f t="shared" ref="K131:K162" si="44">K130-J131</f>
        <v>10.43370092738904</v>
      </c>
      <c r="L131" s="116">
        <f t="shared" si="27"/>
        <v>10.633700927389043</v>
      </c>
      <c r="M131" s="116">
        <f t="shared" si="40"/>
        <v>7.5682649666099611</v>
      </c>
      <c r="N131" s="116">
        <f t="shared" si="28"/>
        <v>74.199999999999633</v>
      </c>
    </row>
    <row r="132" spans="1:14">
      <c r="A132" s="116"/>
      <c r="B132" s="116"/>
      <c r="C132" s="116">
        <f t="shared" si="36"/>
        <v>1.5</v>
      </c>
      <c r="D132" s="116">
        <f t="shared" si="41"/>
        <v>131</v>
      </c>
      <c r="E132" s="116">
        <f t="shared" si="42"/>
        <v>350.5</v>
      </c>
      <c r="F132" s="116">
        <f t="shared" si="37"/>
        <v>0.62629968749999998</v>
      </c>
      <c r="G132" s="116">
        <f t="shared" si="38"/>
        <v>37.577981250000001</v>
      </c>
      <c r="H132" s="116">
        <f t="shared" si="39"/>
        <v>22.7978446875</v>
      </c>
      <c r="I132" s="116">
        <v>198</v>
      </c>
      <c r="J132" s="116">
        <f t="shared" si="43"/>
        <v>4.7586945027507229E-3</v>
      </c>
      <c r="K132" s="116">
        <f t="shared" si="44"/>
        <v>10.428942232886289</v>
      </c>
      <c r="L132" s="116">
        <f t="shared" ref="L132:L165" si="45">K131-J132-(N132-N131)</f>
        <v>10.628942232886292</v>
      </c>
      <c r="M132" s="116">
        <f t="shared" si="40"/>
        <v>7.5853767573335285</v>
      </c>
      <c r="N132" s="116">
        <f t="shared" ref="N132:N165" si="46">N131-0.2</f>
        <v>73.999999999999631</v>
      </c>
    </row>
    <row r="133" spans="1:14">
      <c r="A133" s="116"/>
      <c r="B133" s="116"/>
      <c r="C133" s="116">
        <f t="shared" si="36"/>
        <v>1.5</v>
      </c>
      <c r="D133" s="116">
        <f t="shared" si="41"/>
        <v>132</v>
      </c>
      <c r="E133" s="116">
        <f t="shared" si="42"/>
        <v>352</v>
      </c>
      <c r="F133" s="116">
        <f t="shared" si="37"/>
        <v>0.62897999999999998</v>
      </c>
      <c r="G133" s="116">
        <f t="shared" si="38"/>
        <v>37.738799999999998</v>
      </c>
      <c r="H133" s="116">
        <f t="shared" si="39"/>
        <v>22.171544999999998</v>
      </c>
      <c r="I133" s="116">
        <v>198</v>
      </c>
      <c r="J133" s="116">
        <f t="shared" si="43"/>
        <v>4.5194193215684526E-3</v>
      </c>
      <c r="K133" s="116">
        <f t="shared" si="44"/>
        <v>10.424422813564721</v>
      </c>
      <c r="L133" s="116">
        <f t="shared" si="45"/>
        <v>10.624422813564724</v>
      </c>
      <c r="M133" s="116">
        <f t="shared" si="40"/>
        <v>7.6024143872187766</v>
      </c>
      <c r="N133" s="116">
        <f t="shared" si="46"/>
        <v>73.799999999999628</v>
      </c>
    </row>
    <row r="134" spans="1:14">
      <c r="A134" s="116"/>
      <c r="B134" s="116"/>
      <c r="C134" s="116">
        <f t="shared" si="36"/>
        <v>1.5</v>
      </c>
      <c r="D134" s="116">
        <f t="shared" si="41"/>
        <v>133</v>
      </c>
      <c r="E134" s="116">
        <f t="shared" si="42"/>
        <v>353.5</v>
      </c>
      <c r="F134" s="116">
        <f t="shared" si="37"/>
        <v>0.63166031249999999</v>
      </c>
      <c r="G134" s="116">
        <f t="shared" si="38"/>
        <v>37.899618750000002</v>
      </c>
      <c r="H134" s="116">
        <f t="shared" si="39"/>
        <v>21.542565</v>
      </c>
      <c r="I134" s="116">
        <v>198</v>
      </c>
      <c r="J134" s="116">
        <f t="shared" si="43"/>
        <v>4.2848471247054496E-3</v>
      </c>
      <c r="K134" s="116">
        <f t="shared" si="44"/>
        <v>10.420137966440016</v>
      </c>
      <c r="L134" s="116">
        <f t="shared" si="45"/>
        <v>10.620137966440019</v>
      </c>
      <c r="M134" s="116">
        <f t="shared" si="40"/>
        <v>7.6193785799234401</v>
      </c>
      <c r="N134" s="116">
        <f t="shared" si="46"/>
        <v>73.599999999999625</v>
      </c>
    </row>
    <row r="135" spans="1:14">
      <c r="A135" s="116"/>
      <c r="B135" s="116"/>
      <c r="C135" s="116">
        <f t="shared" si="36"/>
        <v>1.5</v>
      </c>
      <c r="D135" s="116">
        <f t="shared" si="41"/>
        <v>134</v>
      </c>
      <c r="E135" s="116">
        <f t="shared" si="42"/>
        <v>355</v>
      </c>
      <c r="F135" s="116">
        <f t="shared" si="37"/>
        <v>0.63434062499999999</v>
      </c>
      <c r="G135" s="116">
        <f t="shared" si="38"/>
        <v>38.060437499999999</v>
      </c>
      <c r="H135" s="116">
        <f t="shared" si="39"/>
        <v>20.9109046875</v>
      </c>
      <c r="I135" s="116">
        <v>198</v>
      </c>
      <c r="J135" s="116">
        <f t="shared" si="43"/>
        <v>4.0550759422201951E-3</v>
      </c>
      <c r="K135" s="116">
        <f t="shared" si="44"/>
        <v>10.416082890497796</v>
      </c>
      <c r="L135" s="116">
        <f t="shared" si="45"/>
        <v>10.616082890497799</v>
      </c>
      <c r="M135" s="116">
        <f t="shared" si="40"/>
        <v>7.6362700879936041</v>
      </c>
      <c r="N135" s="116">
        <f t="shared" si="46"/>
        <v>73.399999999999622</v>
      </c>
    </row>
    <row r="136" spans="1:14">
      <c r="A136" s="116"/>
      <c r="B136" s="116"/>
      <c r="C136" s="116">
        <f t="shared" si="36"/>
        <v>1.5</v>
      </c>
      <c r="D136" s="116">
        <f t="shared" si="41"/>
        <v>135</v>
      </c>
      <c r="E136" s="116">
        <f t="shared" si="42"/>
        <v>356.5</v>
      </c>
      <c r="F136" s="116">
        <f t="shared" si="37"/>
        <v>0.6370209375</v>
      </c>
      <c r="G136" s="116">
        <f t="shared" si="38"/>
        <v>38.221256249999996</v>
      </c>
      <c r="H136" s="116">
        <f t="shared" si="39"/>
        <v>20.2765640625</v>
      </c>
      <c r="I136" s="116">
        <v>198</v>
      </c>
      <c r="J136" s="116">
        <f t="shared" si="43"/>
        <v>3.8302056010885177E-3</v>
      </c>
      <c r="K136" s="116">
        <f t="shared" si="44"/>
        <v>10.412252684896707</v>
      </c>
      <c r="L136" s="116">
        <f t="shared" si="45"/>
        <v>10.61225268489671</v>
      </c>
      <c r="M136" s="116">
        <f t="shared" si="40"/>
        <v>7.6530896932466632</v>
      </c>
      <c r="N136" s="116">
        <f t="shared" si="46"/>
        <v>73.199999999999619</v>
      </c>
    </row>
    <row r="137" spans="1:14">
      <c r="A137" s="116"/>
      <c r="B137" s="116"/>
      <c r="C137" s="116">
        <f t="shared" si="36"/>
        <v>1.5</v>
      </c>
      <c r="D137" s="116">
        <f t="shared" si="41"/>
        <v>136</v>
      </c>
      <c r="E137" s="116">
        <f t="shared" si="42"/>
        <v>358</v>
      </c>
      <c r="F137" s="116">
        <f t="shared" si="37"/>
        <v>0.63970125</v>
      </c>
      <c r="G137" s="116">
        <f t="shared" si="38"/>
        <v>38.382075</v>
      </c>
      <c r="H137" s="116">
        <f t="shared" si="39"/>
        <v>19.639543124999999</v>
      </c>
      <c r="I137" s="116">
        <v>198</v>
      </c>
      <c r="J137" s="116">
        <f t="shared" si="43"/>
        <v>3.6103378256013038E-3</v>
      </c>
      <c r="K137" s="116">
        <f t="shared" si="44"/>
        <v>10.408642347071106</v>
      </c>
      <c r="L137" s="116">
        <f t="shared" si="45"/>
        <v>10.608642347071109</v>
      </c>
      <c r="M137" s="116">
        <f t="shared" si="40"/>
        <v>7.6698382071697457</v>
      </c>
      <c r="N137" s="116">
        <f t="shared" si="46"/>
        <v>72.999999999999616</v>
      </c>
    </row>
    <row r="138" spans="1:14">
      <c r="A138" s="116"/>
      <c r="B138" s="116"/>
      <c r="C138" s="116">
        <f t="shared" si="36"/>
        <v>1.5</v>
      </c>
      <c r="D138" s="116">
        <f t="shared" si="41"/>
        <v>137</v>
      </c>
      <c r="E138" s="116">
        <f t="shared" si="42"/>
        <v>359.5</v>
      </c>
      <c r="F138" s="116">
        <f t="shared" si="37"/>
        <v>0.6423815625</v>
      </c>
      <c r="G138" s="116">
        <f t="shared" si="38"/>
        <v>38.542893749999998</v>
      </c>
      <c r="H138" s="116">
        <f t="shared" si="39"/>
        <v>18.999841874999998</v>
      </c>
      <c r="I138" s="116">
        <v>198</v>
      </c>
      <c r="J138" s="116">
        <f t="shared" si="43"/>
        <v>3.395576348009916E-3</v>
      </c>
      <c r="K138" s="116">
        <f t="shared" si="44"/>
        <v>10.405246770723096</v>
      </c>
      <c r="L138" s="116">
        <f t="shared" si="45"/>
        <v>10.605246770723099</v>
      </c>
      <c r="M138" s="116">
        <f t="shared" si="40"/>
        <v>7.6865164713360556</v>
      </c>
      <c r="N138" s="116">
        <f t="shared" si="46"/>
        <v>72.799999999999613</v>
      </c>
    </row>
    <row r="139" spans="1:14">
      <c r="A139" s="116"/>
      <c r="B139" s="116"/>
      <c r="C139" s="116">
        <f t="shared" si="36"/>
        <v>1.5</v>
      </c>
      <c r="D139" s="116">
        <f t="shared" si="41"/>
        <v>138</v>
      </c>
      <c r="E139" s="116">
        <f t="shared" si="42"/>
        <v>361</v>
      </c>
      <c r="F139" s="116">
        <f t="shared" si="37"/>
        <v>0.64506187500000001</v>
      </c>
      <c r="G139" s="116">
        <f t="shared" si="38"/>
        <v>38.703712500000002</v>
      </c>
      <c r="H139" s="116">
        <f t="shared" si="39"/>
        <v>18.357460312499999</v>
      </c>
      <c r="I139" s="116">
        <v>198</v>
      </c>
      <c r="J139" s="116">
        <f t="shared" si="43"/>
        <v>3.1860270308802555E-3</v>
      </c>
      <c r="K139" s="116">
        <f t="shared" si="44"/>
        <v>10.402060743692216</v>
      </c>
      <c r="L139" s="116">
        <f t="shared" si="45"/>
        <v>10.602060743692219</v>
      </c>
      <c r="M139" s="116">
        <f t="shared" si="40"/>
        <v>7.7031253578419578</v>
      </c>
      <c r="N139" s="116">
        <f t="shared" si="46"/>
        <v>72.599999999999611</v>
      </c>
    </row>
    <row r="140" spans="1:14">
      <c r="A140" s="116"/>
      <c r="B140" s="116"/>
      <c r="C140" s="116">
        <f t="shared" si="36"/>
        <v>1.5</v>
      </c>
      <c r="D140" s="116">
        <f t="shared" si="41"/>
        <v>139</v>
      </c>
      <c r="E140" s="116">
        <f t="shared" si="42"/>
        <v>362.5</v>
      </c>
      <c r="F140" s="116">
        <f t="shared" si="37"/>
        <v>0.64774218750000001</v>
      </c>
      <c r="G140" s="116">
        <f t="shared" si="38"/>
        <v>38.864531249999999</v>
      </c>
      <c r="H140" s="116">
        <f t="shared" si="39"/>
        <v>17.712398437499999</v>
      </c>
      <c r="I140" s="116">
        <v>198</v>
      </c>
      <c r="J140" s="116">
        <f t="shared" si="43"/>
        <v>2.9817980028871809E-3</v>
      </c>
      <c r="K140" s="116">
        <f t="shared" si="44"/>
        <v>10.399078945689329</v>
      </c>
      <c r="L140" s="116">
        <f t="shared" si="45"/>
        <v>10.599078945689332</v>
      </c>
      <c r="M140" s="116">
        <f t="shared" si="40"/>
        <v>7.7196657697679276</v>
      </c>
      <c r="N140" s="116">
        <f t="shared" si="46"/>
        <v>72.399999999999608</v>
      </c>
    </row>
    <row r="141" spans="1:14">
      <c r="A141" s="116"/>
      <c r="B141" s="116"/>
      <c r="C141" s="116">
        <f t="shared" si="36"/>
        <v>1.5</v>
      </c>
      <c r="D141" s="116">
        <f t="shared" si="41"/>
        <v>140</v>
      </c>
      <c r="E141" s="116">
        <f t="shared" si="42"/>
        <v>364</v>
      </c>
      <c r="F141" s="116">
        <f t="shared" si="37"/>
        <v>0.6504224999999999</v>
      </c>
      <c r="G141" s="116">
        <f t="shared" si="38"/>
        <v>39.025349999999996</v>
      </c>
      <c r="H141" s="116">
        <f t="shared" si="39"/>
        <v>17.064656249999999</v>
      </c>
      <c r="I141" s="116">
        <v>198</v>
      </c>
      <c r="J141" s="116">
        <f t="shared" si="43"/>
        <v>2.7829998101140006E-3</v>
      </c>
      <c r="K141" s="116">
        <f t="shared" si="44"/>
        <v>10.396295945879215</v>
      </c>
      <c r="L141" s="116">
        <f t="shared" si="45"/>
        <v>10.596295945879218</v>
      </c>
      <c r="M141" s="116">
        <f t="shared" si="40"/>
        <v>7.7361386416670177</v>
      </c>
      <c r="N141" s="116">
        <f t="shared" si="46"/>
        <v>72.199999999999605</v>
      </c>
    </row>
    <row r="142" spans="1:14">
      <c r="A142" s="116"/>
      <c r="B142" s="116"/>
      <c r="C142" s="116">
        <f t="shared" si="36"/>
        <v>1.5</v>
      </c>
      <c r="D142" s="116">
        <f t="shared" si="41"/>
        <v>141</v>
      </c>
      <c r="E142" s="116">
        <f t="shared" si="42"/>
        <v>365.5</v>
      </c>
      <c r="F142" s="116">
        <f t="shared" si="37"/>
        <v>0.65310281250000002</v>
      </c>
      <c r="G142" s="116">
        <f t="shared" si="38"/>
        <v>39.18616875</v>
      </c>
      <c r="H142" s="116">
        <f t="shared" si="39"/>
        <v>16.414233749999998</v>
      </c>
      <c r="I142" s="116">
        <v>198</v>
      </c>
      <c r="J142" s="116">
        <f t="shared" si="43"/>
        <v>2.5897455853348744E-3</v>
      </c>
      <c r="K142" s="116">
        <f t="shared" si="44"/>
        <v>10.393706200293881</v>
      </c>
      <c r="L142" s="116">
        <f t="shared" si="45"/>
        <v>10.593706200293884</v>
      </c>
      <c r="M142" s="116">
        <f t="shared" si="40"/>
        <v>7.7525449400849515</v>
      </c>
      <c r="N142" s="116">
        <f t="shared" si="46"/>
        <v>71.999999999999602</v>
      </c>
    </row>
    <row r="143" spans="1:14">
      <c r="A143" s="116"/>
      <c r="B143" s="116"/>
      <c r="C143" s="116">
        <f t="shared" si="36"/>
        <v>1.5</v>
      </c>
      <c r="D143" s="116">
        <f t="shared" si="41"/>
        <v>142</v>
      </c>
      <c r="E143" s="116">
        <f t="shared" si="42"/>
        <v>367</v>
      </c>
      <c r="F143" s="116">
        <f t="shared" si="37"/>
        <v>0.65578312500000002</v>
      </c>
      <c r="G143" s="116">
        <f t="shared" si="38"/>
        <v>39.346987500000004</v>
      </c>
      <c r="H143" s="116">
        <f t="shared" si="39"/>
        <v>15.761130937499999</v>
      </c>
      <c r="I143" s="116">
        <v>198</v>
      </c>
      <c r="J143" s="116">
        <f t="shared" si="43"/>
        <v>2.4021512382742271E-3</v>
      </c>
      <c r="K143" s="116">
        <f t="shared" si="44"/>
        <v>10.391304049055607</v>
      </c>
      <c r="L143" s="116">
        <f t="shared" si="45"/>
        <v>10.59130404905561</v>
      </c>
      <c r="M143" s="116">
        <f t="shared" si="40"/>
        <v>7.7688856641166035</v>
      </c>
      <c r="N143" s="116">
        <f t="shared" si="46"/>
        <v>71.799999999999599</v>
      </c>
    </row>
    <row r="144" spans="1:14">
      <c r="A144" s="116"/>
      <c r="B144" s="116"/>
      <c r="C144" s="116">
        <f t="shared" ref="C144:C165" si="47">E144-E143</f>
        <v>1.5</v>
      </c>
      <c r="D144" s="116">
        <f t="shared" si="41"/>
        <v>143</v>
      </c>
      <c r="E144" s="116">
        <f t="shared" si="42"/>
        <v>368.5</v>
      </c>
      <c r="F144" s="116">
        <f t="shared" si="37"/>
        <v>0.65846343749999992</v>
      </c>
      <c r="G144" s="116">
        <f t="shared" si="38"/>
        <v>39.507806249999994</v>
      </c>
      <c r="H144" s="116">
        <f t="shared" si="39"/>
        <v>15.1053478125</v>
      </c>
      <c r="I144" s="116">
        <v>198</v>
      </c>
      <c r="J144" s="116">
        <f t="shared" si="43"/>
        <v>2.220335670488272E-3</v>
      </c>
      <c r="K144" s="116">
        <f t="shared" si="44"/>
        <v>10.389083713385119</v>
      </c>
      <c r="L144" s="116">
        <f t="shared" si="45"/>
        <v>10.589083713385122</v>
      </c>
      <c r="M144" s="116">
        <f t="shared" si="40"/>
        <v>7.7851618460044145</v>
      </c>
      <c r="N144" s="116">
        <f t="shared" si="46"/>
        <v>71.599999999999596</v>
      </c>
    </row>
    <row r="145" spans="1:14">
      <c r="A145" s="116"/>
      <c r="B145" s="116"/>
      <c r="C145" s="116">
        <f t="shared" si="47"/>
        <v>1.5</v>
      </c>
      <c r="D145" s="116">
        <f t="shared" si="41"/>
        <v>144</v>
      </c>
      <c r="E145" s="116">
        <f t="shared" si="42"/>
        <v>370</v>
      </c>
      <c r="F145" s="116">
        <f t="shared" si="37"/>
        <v>0.66114375000000003</v>
      </c>
      <c r="G145" s="116">
        <f t="shared" si="38"/>
        <v>39.668624999999999</v>
      </c>
      <c r="H145" s="116">
        <f t="shared" si="39"/>
        <v>14.446884375</v>
      </c>
      <c r="I145" s="116">
        <v>198</v>
      </c>
      <c r="J145" s="116">
        <f t="shared" si="43"/>
        <v>2.0444210193420027E-3</v>
      </c>
      <c r="K145" s="116">
        <f t="shared" si="44"/>
        <v>10.387039292365777</v>
      </c>
      <c r="L145" s="116">
        <f t="shared" si="45"/>
        <v>10.58703929236578</v>
      </c>
      <c r="M145" s="116">
        <f t="shared" si="40"/>
        <v>7.8013745517852104</v>
      </c>
      <c r="N145" s="116">
        <f t="shared" si="46"/>
        <v>71.399999999999594</v>
      </c>
    </row>
    <row r="146" spans="1:14">
      <c r="A146" s="116"/>
      <c r="B146" s="116"/>
      <c r="C146" s="116">
        <f t="shared" si="47"/>
        <v>1.5</v>
      </c>
      <c r="D146" s="116">
        <f t="shared" si="41"/>
        <v>145</v>
      </c>
      <c r="E146" s="116">
        <f t="shared" si="42"/>
        <v>371.5</v>
      </c>
      <c r="F146" s="116">
        <f t="shared" si="37"/>
        <v>0.66382406249999992</v>
      </c>
      <c r="G146" s="116">
        <f t="shared" si="38"/>
        <v>39.829443749999996</v>
      </c>
      <c r="H146" s="116">
        <f t="shared" si="39"/>
        <v>13.785740624999999</v>
      </c>
      <c r="I146" s="116">
        <v>198</v>
      </c>
      <c r="J146" s="116">
        <f t="shared" si="43"/>
        <v>1.874532936619892E-3</v>
      </c>
      <c r="K146" s="116">
        <f t="shared" si="44"/>
        <v>10.385164759429157</v>
      </c>
      <c r="L146" s="116">
        <f t="shared" si="45"/>
        <v>10.58516475942916</v>
      </c>
      <c r="M146" s="116">
        <f t="shared" si="40"/>
        <v>7.8175248819929992</v>
      </c>
      <c r="N146" s="116">
        <f t="shared" si="46"/>
        <v>71.199999999999591</v>
      </c>
    </row>
    <row r="147" spans="1:14">
      <c r="A147" s="116"/>
      <c r="B147" s="116"/>
      <c r="C147" s="116">
        <f t="shared" si="47"/>
        <v>1.5</v>
      </c>
      <c r="D147" s="116">
        <f t="shared" si="41"/>
        <v>146</v>
      </c>
      <c r="E147" s="116">
        <f t="shared" si="42"/>
        <v>373</v>
      </c>
      <c r="F147" s="116">
        <f t="shared" si="37"/>
        <v>0.66650437499999993</v>
      </c>
      <c r="G147" s="116">
        <f t="shared" si="38"/>
        <v>39.990262499999993</v>
      </c>
      <c r="H147" s="116">
        <f t="shared" si="39"/>
        <v>13.121916562499999</v>
      </c>
      <c r="I147" s="116">
        <v>198</v>
      </c>
      <c r="J147" s="116">
        <f t="shared" si="43"/>
        <v>1.7108009086921703E-3</v>
      </c>
      <c r="K147" s="116">
        <f t="shared" si="44"/>
        <v>10.383453958520466</v>
      </c>
      <c r="L147" s="116">
        <f t="shared" si="45"/>
        <v>10.583453958520469</v>
      </c>
      <c r="M147" s="116">
        <f t="shared" si="40"/>
        <v>7.8336139724268419</v>
      </c>
      <c r="N147" s="116">
        <f t="shared" si="46"/>
        <v>70.999999999999588</v>
      </c>
    </row>
    <row r="148" spans="1:14">
      <c r="A148" s="116"/>
      <c r="B148" s="116"/>
      <c r="C148" s="116">
        <f t="shared" si="47"/>
        <v>1.5</v>
      </c>
      <c r="D148" s="116">
        <f t="shared" si="41"/>
        <v>147</v>
      </c>
      <c r="E148" s="116">
        <f t="shared" si="42"/>
        <v>374.5</v>
      </c>
      <c r="F148" s="116">
        <f t="shared" si="37"/>
        <v>0.66918468750000004</v>
      </c>
      <c r="G148" s="116">
        <f t="shared" si="38"/>
        <v>40.151081250000004</v>
      </c>
      <c r="H148" s="116">
        <f t="shared" si="39"/>
        <v>12.455412187499999</v>
      </c>
      <c r="I148" s="116">
        <v>198</v>
      </c>
      <c r="J148" s="116">
        <f t="shared" si="43"/>
        <v>1.5533586269785877E-3</v>
      </c>
      <c r="K148" s="116">
        <f t="shared" si="44"/>
        <v>10.381900599893488</v>
      </c>
      <c r="L148" s="116">
        <f t="shared" si="45"/>
        <v>10.581900599893491</v>
      </c>
      <c r="M148" s="116">
        <f t="shared" si="40"/>
        <v>7.8496429949945998</v>
      </c>
      <c r="N148" s="116">
        <f t="shared" si="46"/>
        <v>70.799999999999585</v>
      </c>
    </row>
    <row r="149" spans="1:14">
      <c r="A149" s="116"/>
      <c r="B149" s="116"/>
      <c r="C149" s="116">
        <f t="shared" si="47"/>
        <v>1.5</v>
      </c>
      <c r="D149" s="116">
        <f t="shared" si="41"/>
        <v>148</v>
      </c>
      <c r="E149" s="116">
        <f t="shared" si="42"/>
        <v>376</v>
      </c>
      <c r="F149" s="116">
        <f t="shared" si="37"/>
        <v>0.67186499999999993</v>
      </c>
      <c r="G149" s="116">
        <f t="shared" si="38"/>
        <v>40.311899999999994</v>
      </c>
      <c r="H149" s="116">
        <f t="shared" si="39"/>
        <v>11.786227499999999</v>
      </c>
      <c r="I149" s="116">
        <v>198</v>
      </c>
      <c r="J149" s="116">
        <f t="shared" si="43"/>
        <v>1.4023444198766003E-3</v>
      </c>
      <c r="K149" s="116">
        <f t="shared" si="44"/>
        <v>10.380498255473611</v>
      </c>
      <c r="L149" s="116">
        <f t="shared" si="45"/>
        <v>10.580498255473614</v>
      </c>
      <c r="M149" s="116">
        <f t="shared" si="40"/>
        <v>7.8656131586456999</v>
      </c>
      <c r="N149" s="116">
        <f t="shared" si="46"/>
        <v>70.599999999999582</v>
      </c>
    </row>
    <row r="150" spans="1:14">
      <c r="A150" s="116"/>
      <c r="B150" s="116"/>
      <c r="C150" s="116">
        <f t="shared" si="47"/>
        <v>1.5</v>
      </c>
      <c r="D150" s="116">
        <f t="shared" si="41"/>
        <v>149</v>
      </c>
      <c r="E150" s="116">
        <f t="shared" si="42"/>
        <v>377.5</v>
      </c>
      <c r="F150" s="116">
        <f t="shared" si="37"/>
        <v>0.67454531250000005</v>
      </c>
      <c r="G150" s="116">
        <f t="shared" si="38"/>
        <v>40.472718750000006</v>
      </c>
      <c r="H150" s="116">
        <f t="shared" si="39"/>
        <v>11.114362499999999</v>
      </c>
      <c r="I150" s="116">
        <v>198</v>
      </c>
      <c r="J150" s="116">
        <f t="shared" si="43"/>
        <v>1.2579017605996118E-3</v>
      </c>
      <c r="K150" s="116">
        <f t="shared" si="44"/>
        <v>10.379240353713012</v>
      </c>
      <c r="L150" s="116">
        <f t="shared" si="45"/>
        <v>10.579240353713015</v>
      </c>
      <c r="M150" s="116">
        <f t="shared" si="40"/>
        <v>7.8815257104090177</v>
      </c>
      <c r="N150" s="116">
        <f t="shared" si="46"/>
        <v>70.399999999999579</v>
      </c>
    </row>
    <row r="151" spans="1:14">
      <c r="A151" s="116"/>
      <c r="B151" s="116"/>
      <c r="C151" s="116">
        <f t="shared" si="47"/>
        <v>1.5</v>
      </c>
      <c r="D151" s="116">
        <f t="shared" si="41"/>
        <v>150</v>
      </c>
      <c r="E151" s="116">
        <f t="shared" si="42"/>
        <v>379</v>
      </c>
      <c r="F151" s="116">
        <f t="shared" si="37"/>
        <v>0.67722562499999994</v>
      </c>
      <c r="G151" s="116">
        <f t="shared" si="38"/>
        <v>40.633537499999996</v>
      </c>
      <c r="H151" s="116">
        <f t="shared" si="39"/>
        <v>10.439817187499999</v>
      </c>
      <c r="I151" s="116">
        <v>198</v>
      </c>
      <c r="J151" s="116">
        <f t="shared" si="43"/>
        <v>1.1201798698744325E-3</v>
      </c>
      <c r="K151" s="116">
        <f t="shared" si="44"/>
        <v>10.378120173843138</v>
      </c>
      <c r="L151" s="116">
        <f t="shared" si="45"/>
        <v>10.578120173843141</v>
      </c>
      <c r="M151" s="116">
        <f t="shared" si="40"/>
        <v>7.8973819365557603</v>
      </c>
      <c r="N151" s="116">
        <f t="shared" si="46"/>
        <v>70.199999999999577</v>
      </c>
    </row>
    <row r="152" spans="1:14">
      <c r="A152" s="116"/>
      <c r="B152" s="116"/>
      <c r="C152" s="116">
        <f t="shared" si="47"/>
        <v>1.5</v>
      </c>
      <c r="D152" s="116">
        <f t="shared" si="41"/>
        <v>151</v>
      </c>
      <c r="E152" s="116">
        <f t="shared" si="42"/>
        <v>380.5</v>
      </c>
      <c r="F152" s="116">
        <f t="shared" si="37"/>
        <v>0.67990593749999995</v>
      </c>
      <c r="G152" s="116">
        <f t="shared" si="38"/>
        <v>40.79435625</v>
      </c>
      <c r="H152" s="116">
        <f t="shared" si="39"/>
        <v>9.762591562499999</v>
      </c>
      <c r="I152" s="116">
        <v>198</v>
      </c>
      <c r="J152" s="116">
        <f t="shared" si="43"/>
        <v>9.8933443874453476E-4</v>
      </c>
      <c r="K152" s="116">
        <f t="shared" si="44"/>
        <v>10.377130839404394</v>
      </c>
      <c r="L152" s="116">
        <f t="shared" si="45"/>
        <v>10.577130839404397</v>
      </c>
      <c r="M152" s="116">
        <f t="shared" si="40"/>
        <v>7.9131831639124917</v>
      </c>
      <c r="N152" s="116">
        <f t="shared" si="46"/>
        <v>69.999999999999574</v>
      </c>
    </row>
    <row r="153" spans="1:14">
      <c r="A153" s="116"/>
      <c r="B153" s="116"/>
      <c r="C153" s="116">
        <f t="shared" si="47"/>
        <v>1.5</v>
      </c>
      <c r="D153" s="116">
        <f t="shared" si="41"/>
        <v>152</v>
      </c>
      <c r="E153" s="116">
        <f t="shared" si="42"/>
        <v>382</v>
      </c>
      <c r="F153" s="116">
        <f t="shared" si="37"/>
        <v>0.68258625000000006</v>
      </c>
      <c r="G153" s="116">
        <f t="shared" si="38"/>
        <v>40.955175000000004</v>
      </c>
      <c r="H153" s="116">
        <f t="shared" si="39"/>
        <v>9.0826856249999999</v>
      </c>
      <c r="I153" s="116">
        <v>198</v>
      </c>
      <c r="J153" s="116">
        <f t="shared" si="43"/>
        <v>8.6552850570786226E-4</v>
      </c>
      <c r="K153" s="116">
        <f t="shared" si="44"/>
        <v>10.376265310898686</v>
      </c>
      <c r="L153" s="116">
        <f t="shared" si="45"/>
        <v>10.576265310898689</v>
      </c>
      <c r="M153" s="116">
        <f t="shared" si="40"/>
        <v>7.9289307613561917</v>
      </c>
      <c r="N153" s="116">
        <f t="shared" si="46"/>
        <v>69.799999999999571</v>
      </c>
    </row>
    <row r="154" spans="1:14">
      <c r="A154" s="116"/>
      <c r="B154" s="116"/>
      <c r="C154" s="116">
        <f t="shared" si="47"/>
        <v>1.5</v>
      </c>
      <c r="D154" s="116">
        <f t="shared" si="41"/>
        <v>153</v>
      </c>
      <c r="E154" s="116">
        <f t="shared" si="42"/>
        <v>383.5</v>
      </c>
      <c r="F154" s="116">
        <f t="shared" si="37"/>
        <v>0.68526656249999995</v>
      </c>
      <c r="G154" s="116">
        <f t="shared" si="38"/>
        <v>41.115993749999994</v>
      </c>
      <c r="H154" s="116">
        <f t="shared" si="39"/>
        <v>8.4000993749999999</v>
      </c>
      <c r="I154" s="116">
        <v>198</v>
      </c>
      <c r="J154" s="116">
        <f t="shared" si="43"/>
        <v>7.4893353552022595E-4</v>
      </c>
      <c r="K154" s="116">
        <f t="shared" si="44"/>
        <v>10.375516377363166</v>
      </c>
      <c r="L154" s="116">
        <f t="shared" si="45"/>
        <v>10.575516377363169</v>
      </c>
      <c r="M154" s="116">
        <f t="shared" si="40"/>
        <v>7.9446261415329475</v>
      </c>
      <c r="N154" s="116">
        <f t="shared" si="46"/>
        <v>69.599999999999568</v>
      </c>
    </row>
    <row r="155" spans="1:14">
      <c r="A155" s="116"/>
      <c r="B155" s="116"/>
      <c r="C155" s="116">
        <f t="shared" si="47"/>
        <v>1.5</v>
      </c>
      <c r="D155" s="116">
        <f t="shared" si="41"/>
        <v>154</v>
      </c>
      <c r="E155" s="116">
        <f t="shared" si="42"/>
        <v>385</v>
      </c>
      <c r="F155" s="116">
        <f t="shared" si="37"/>
        <v>0.68794687499999996</v>
      </c>
      <c r="G155" s="116">
        <f t="shared" si="38"/>
        <v>41.276812499999998</v>
      </c>
      <c r="H155" s="116">
        <f t="shared" si="39"/>
        <v>7.7148328125000001</v>
      </c>
      <c r="I155" s="116">
        <v>198</v>
      </c>
      <c r="J155" s="116">
        <f t="shared" si="43"/>
        <v>6.3973076660112256E-4</v>
      </c>
      <c r="K155" s="116">
        <f t="shared" si="44"/>
        <v>10.374876646596565</v>
      </c>
      <c r="L155" s="116">
        <f t="shared" si="45"/>
        <v>10.574876646596568</v>
      </c>
      <c r="M155" s="116">
        <f t="shared" si="40"/>
        <v>7.9602707628552754</v>
      </c>
      <c r="N155" s="116">
        <f t="shared" si="46"/>
        <v>69.399999999999565</v>
      </c>
    </row>
    <row r="156" spans="1:14">
      <c r="A156" s="116"/>
      <c r="B156" s="116"/>
      <c r="C156" s="116">
        <f t="shared" si="47"/>
        <v>1.5</v>
      </c>
      <c r="D156" s="116">
        <f t="shared" si="41"/>
        <v>155</v>
      </c>
      <c r="E156" s="116">
        <f t="shared" si="42"/>
        <v>386.5</v>
      </c>
      <c r="F156" s="116">
        <f t="shared" si="37"/>
        <v>0.69062718749999996</v>
      </c>
      <c r="G156" s="116">
        <f t="shared" si="38"/>
        <v>41.437631249999995</v>
      </c>
      <c r="H156" s="116">
        <f t="shared" si="39"/>
        <v>7.0268859375000003</v>
      </c>
      <c r="I156" s="116">
        <v>198</v>
      </c>
      <c r="J156" s="116">
        <f t="shared" si="43"/>
        <v>5.3811292418687751E-4</v>
      </c>
      <c r="K156" s="116">
        <f t="shared" si="44"/>
        <v>10.374338533672379</v>
      </c>
      <c r="L156" s="116">
        <f t="shared" si="45"/>
        <v>10.574338533672382</v>
      </c>
      <c r="M156" s="116">
        <f t="shared" si="40"/>
        <v>7.9758661318525403</v>
      </c>
      <c r="N156" s="116">
        <f t="shared" si="46"/>
        <v>69.199999999999562</v>
      </c>
    </row>
    <row r="157" spans="1:14">
      <c r="A157" s="116"/>
      <c r="B157" s="116"/>
      <c r="C157" s="116">
        <f t="shared" si="47"/>
        <v>1.5</v>
      </c>
      <c r="D157" s="116">
        <f t="shared" si="41"/>
        <v>156</v>
      </c>
      <c r="E157" s="116">
        <f t="shared" si="42"/>
        <v>388</v>
      </c>
      <c r="F157" s="116">
        <f t="shared" si="37"/>
        <v>0.69330749999999997</v>
      </c>
      <c r="G157" s="116">
        <f t="shared" si="38"/>
        <v>41.59845</v>
      </c>
      <c r="H157" s="116">
        <f t="shared" si="39"/>
        <v>6.3362587500000007</v>
      </c>
      <c r="I157" s="116">
        <v>198</v>
      </c>
      <c r="J157" s="116">
        <f t="shared" si="43"/>
        <v>4.4428644452693355E-4</v>
      </c>
      <c r="K157" s="116">
        <f t="shared" si="44"/>
        <v>10.373894247227852</v>
      </c>
      <c r="L157" s="116">
        <f t="shared" si="45"/>
        <v>10.573894247227855</v>
      </c>
      <c r="M157" s="116">
        <f t="shared" si="40"/>
        <v>7.9914138059781514</v>
      </c>
      <c r="N157" s="116">
        <f t="shared" si="46"/>
        <v>68.999999999999559</v>
      </c>
    </row>
    <row r="158" spans="1:14">
      <c r="A158" s="116"/>
      <c r="B158" s="116"/>
      <c r="C158" s="116">
        <f t="shared" si="47"/>
        <v>1.5</v>
      </c>
      <c r="D158" s="116">
        <f t="shared" si="41"/>
        <v>157</v>
      </c>
      <c r="E158" s="116">
        <f t="shared" si="42"/>
        <v>389.5</v>
      </c>
      <c r="F158" s="116">
        <f t="shared" si="37"/>
        <v>0.69598781249999997</v>
      </c>
      <c r="G158" s="116">
        <f t="shared" si="38"/>
        <v>41.759268749999997</v>
      </c>
      <c r="H158" s="116">
        <f t="shared" si="39"/>
        <v>5.6429512500000003</v>
      </c>
      <c r="I158" s="116">
        <v>198</v>
      </c>
      <c r="J158" s="116">
        <f t="shared" si="43"/>
        <v>3.5847443529380297E-4</v>
      </c>
      <c r="K158" s="116">
        <f t="shared" si="44"/>
        <v>10.373535772792559</v>
      </c>
      <c r="L158" s="116">
        <f t="shared" si="45"/>
        <v>10.573535772792562</v>
      </c>
      <c r="M158" s="116">
        <f t="shared" si="40"/>
        <v>8.006915397022107</v>
      </c>
      <c r="N158" s="116">
        <f t="shared" si="46"/>
        <v>68.799999999999557</v>
      </c>
    </row>
    <row r="159" spans="1:14">
      <c r="A159" s="116"/>
      <c r="B159" s="116"/>
      <c r="C159" s="116">
        <f t="shared" si="47"/>
        <v>1.5</v>
      </c>
      <c r="D159" s="116">
        <f t="shared" si="41"/>
        <v>158</v>
      </c>
      <c r="E159" s="116">
        <f t="shared" si="42"/>
        <v>391</v>
      </c>
      <c r="F159" s="116">
        <f t="shared" si="37"/>
        <v>0.69866812499999997</v>
      </c>
      <c r="G159" s="116">
        <f t="shared" si="38"/>
        <v>41.920087500000001</v>
      </c>
      <c r="H159" s="116">
        <f t="shared" si="39"/>
        <v>4.9469634375</v>
      </c>
      <c r="I159" s="116">
        <v>198</v>
      </c>
      <c r="J159" s="116">
        <f t="shared" si="43"/>
        <v>2.8092073633953989E-4</v>
      </c>
      <c r="K159" s="116">
        <f t="shared" si="44"/>
        <v>10.37325485205622</v>
      </c>
      <c r="L159" s="116">
        <f t="shared" si="45"/>
        <v>10.573254852056223</v>
      </c>
      <c r="M159" s="116">
        <f t="shared" si="40"/>
        <v>8.0223725753501736</v>
      </c>
      <c r="N159" s="116">
        <f t="shared" si="46"/>
        <v>68.599999999999554</v>
      </c>
    </row>
    <row r="160" spans="1:14">
      <c r="A160" s="116"/>
      <c r="B160" s="116"/>
      <c r="C160" s="116">
        <f t="shared" si="47"/>
        <v>1.5</v>
      </c>
      <c r="D160" s="116">
        <f t="shared" si="41"/>
        <v>159</v>
      </c>
      <c r="E160" s="116">
        <f t="shared" si="42"/>
        <v>392.5</v>
      </c>
      <c r="F160" s="116">
        <f t="shared" si="37"/>
        <v>0.70134843749999998</v>
      </c>
      <c r="G160" s="116">
        <f t="shared" si="38"/>
        <v>42.080906249999998</v>
      </c>
      <c r="H160" s="116">
        <f t="shared" si="39"/>
        <v>4.2482953124999998</v>
      </c>
      <c r="I160" s="116">
        <v>198</v>
      </c>
      <c r="J160" s="116">
        <f t="shared" si="43"/>
        <v>2.1189570112037823E-4</v>
      </c>
      <c r="K160" s="116">
        <f t="shared" si="44"/>
        <v>10.3730429563551</v>
      </c>
      <c r="L160" s="116">
        <f t="shared" si="45"/>
        <v>10.573042956355103</v>
      </c>
      <c r="M160" s="116">
        <f t="shared" si="40"/>
        <v>8.0377870753143874</v>
      </c>
      <c r="N160" s="116">
        <f t="shared" si="46"/>
        <v>68.399999999999551</v>
      </c>
    </row>
    <row r="161" spans="1:14">
      <c r="A161" s="116"/>
      <c r="B161" s="116"/>
      <c r="C161" s="116">
        <f t="shared" si="47"/>
        <v>1.5</v>
      </c>
      <c r="D161" s="116">
        <f t="shared" si="41"/>
        <v>160</v>
      </c>
      <c r="E161" s="116">
        <f t="shared" si="42"/>
        <v>394</v>
      </c>
      <c r="F161" s="116">
        <f t="shared" si="37"/>
        <v>0.70402874999999998</v>
      </c>
      <c r="G161" s="116">
        <f t="shared" si="38"/>
        <v>42.241725000000002</v>
      </c>
      <c r="H161" s="116">
        <f t="shared" si="39"/>
        <v>3.5469468749999997</v>
      </c>
      <c r="I161" s="116">
        <v>198</v>
      </c>
      <c r="J161" s="116">
        <f t="shared" si="43"/>
        <v>1.5170482683796879E-4</v>
      </c>
      <c r="K161" s="116">
        <f t="shared" si="44"/>
        <v>10.372891251528262</v>
      </c>
      <c r="L161" s="116">
        <f t="shared" si="45"/>
        <v>10.572891251528265</v>
      </c>
      <c r="M161" s="116">
        <f t="shared" si="40"/>
        <v>8.0531607024037299</v>
      </c>
      <c r="N161" s="116">
        <f t="shared" si="46"/>
        <v>68.199999999999548</v>
      </c>
    </row>
    <row r="162" spans="1:14">
      <c r="A162" s="116"/>
      <c r="B162" s="116"/>
      <c r="C162" s="116">
        <f t="shared" si="47"/>
        <v>1.5</v>
      </c>
      <c r="D162" s="116">
        <f t="shared" si="41"/>
        <v>161</v>
      </c>
      <c r="E162" s="116">
        <f t="shared" si="42"/>
        <v>395.5</v>
      </c>
      <c r="F162" s="116">
        <f t="shared" ref="F162:F165" si="48">(E162*C162*2*$A$2/($A$4^2))</f>
        <v>0.70670906249999998</v>
      </c>
      <c r="G162" s="116">
        <f t="shared" si="38"/>
        <v>42.40254375</v>
      </c>
      <c r="H162" s="116">
        <f>F162+H163</f>
        <v>2.8429181249999997</v>
      </c>
      <c r="I162" s="116">
        <v>198</v>
      </c>
      <c r="J162" s="116">
        <f t="shared" si="43"/>
        <v>1.0070246589696954E-4</v>
      </c>
      <c r="K162" s="116">
        <f t="shared" si="44"/>
        <v>10.372790549062366</v>
      </c>
      <c r="L162" s="116">
        <f t="shared" si="45"/>
        <v>10.572790549062368</v>
      </c>
      <c r="M162" s="116">
        <f t="shared" si="40"/>
        <v>8.0684953431463331</v>
      </c>
      <c r="N162" s="116">
        <f t="shared" si="46"/>
        <v>67.999999999999545</v>
      </c>
    </row>
    <row r="163" spans="1:14">
      <c r="A163" s="116"/>
      <c r="B163" s="116"/>
      <c r="C163" s="116">
        <f t="shared" si="47"/>
        <v>1.5</v>
      </c>
      <c r="D163" s="116">
        <f t="shared" si="41"/>
        <v>162</v>
      </c>
      <c r="E163" s="116">
        <f t="shared" si="42"/>
        <v>397</v>
      </c>
      <c r="F163" s="116">
        <f t="shared" si="48"/>
        <v>0.70938937499999999</v>
      </c>
      <c r="G163" s="116">
        <f t="shared" si="38"/>
        <v>42.563362499999997</v>
      </c>
      <c r="H163" s="116">
        <f t="shared" si="39"/>
        <v>2.1362090624999999</v>
      </c>
      <c r="I163" s="116">
        <v>198</v>
      </c>
      <c r="J163" s="116">
        <f t="shared" si="43"/>
        <v>5.9315576468835229E-5</v>
      </c>
      <c r="K163" s="116">
        <f t="shared" ref="K163:K165" si="49">K162-J163</f>
        <v>10.372731233485897</v>
      </c>
      <c r="L163" s="116">
        <f t="shared" si="45"/>
        <v>10.5727312334859</v>
      </c>
      <c r="M163" s="116">
        <f t="shared" si="40"/>
        <v>8.0837929797556409</v>
      </c>
      <c r="N163" s="116">
        <f t="shared" si="46"/>
        <v>67.799999999999542</v>
      </c>
    </row>
    <row r="164" spans="1:14">
      <c r="A164" s="116"/>
      <c r="B164" s="116"/>
      <c r="C164" s="116">
        <f t="shared" si="47"/>
        <v>1.5</v>
      </c>
      <c r="D164" s="116">
        <f t="shared" si="41"/>
        <v>163</v>
      </c>
      <c r="E164" s="116">
        <f t="shared" si="42"/>
        <v>398.5</v>
      </c>
      <c r="F164" s="116">
        <f t="shared" si="48"/>
        <v>0.71206968749999999</v>
      </c>
      <c r="G164" s="116">
        <f t="shared" si="38"/>
        <v>42.724181250000001</v>
      </c>
      <c r="H164" s="116">
        <f>F164+H165</f>
        <v>1.4268196875000001</v>
      </c>
      <c r="I164" s="116">
        <v>198</v>
      </c>
      <c r="J164" s="116">
        <f t="shared" si="43"/>
        <v>2.8090539824226837E-5</v>
      </c>
      <c r="K164" s="116">
        <f t="shared" si="49"/>
        <v>10.372703142946072</v>
      </c>
      <c r="L164" s="116">
        <f t="shared" si="45"/>
        <v>10.572703142946075</v>
      </c>
      <c r="M164" s="116">
        <f t="shared" si="40"/>
        <v>8.0990557140854804</v>
      </c>
      <c r="N164" s="116">
        <f t="shared" si="46"/>
        <v>67.59999999999954</v>
      </c>
    </row>
    <row r="165" spans="1:14">
      <c r="A165" s="116"/>
      <c r="B165" s="116"/>
      <c r="C165" s="116">
        <f t="shared" si="47"/>
        <v>1.5</v>
      </c>
      <c r="D165" s="116">
        <f t="shared" si="41"/>
        <v>164</v>
      </c>
      <c r="E165" s="116">
        <f t="shared" si="42"/>
        <v>400</v>
      </c>
      <c r="F165" s="116">
        <f t="shared" si="48"/>
        <v>0.71475</v>
      </c>
      <c r="G165" s="116">
        <f t="shared" si="38"/>
        <v>42.884999999999998</v>
      </c>
      <c r="H165" s="116">
        <f>F165</f>
        <v>0.71475</v>
      </c>
      <c r="I165" s="116">
        <v>198</v>
      </c>
      <c r="J165" s="116">
        <f t="shared" si="43"/>
        <v>7.8083997066938437E-6</v>
      </c>
      <c r="K165" s="116">
        <f t="shared" si="49"/>
        <v>10.372695334546366</v>
      </c>
      <c r="L165" s="116">
        <f t="shared" si="45"/>
        <v>10.572695334546369</v>
      </c>
      <c r="M165" s="116">
        <f t="shared" si="40"/>
        <v>8.114285814396796</v>
      </c>
      <c r="N165" s="116">
        <f t="shared" si="46"/>
        <v>67.399999999999537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CP_infilt_RO</vt:lpstr>
      <vt:lpstr>CP_flow_calc</vt:lpstr>
      <vt:lpstr>didtmax</vt:lpstr>
      <vt:lpstr>ia</vt:lpstr>
      <vt:lpstr>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 Waller</dc:creator>
  <cp:lastModifiedBy>Peter Waller</cp:lastModifiedBy>
  <dcterms:created xsi:type="dcterms:W3CDTF">2013-01-10T16:33:26Z</dcterms:created>
  <dcterms:modified xsi:type="dcterms:W3CDTF">2023-02-02T02:33:52Z</dcterms:modified>
</cp:coreProperties>
</file>